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h\Downloads\models\"/>
    </mc:Choice>
  </mc:AlternateContent>
  <xr:revisionPtr revIDLastSave="0" documentId="13_ncr:1_{9746E3AE-06DA-4E95-B09B-98D9EB17D8C2}" xr6:coauthVersionLast="47" xr6:coauthVersionMax="47" xr10:uidLastSave="{00000000-0000-0000-0000-000000000000}"/>
  <bookViews>
    <workbookView xWindow="-90" yWindow="-90" windowWidth="19380" windowHeight="10260" xr2:uid="{51A944FF-8ABC-4B31-A352-15589AA93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6" i="1" l="1"/>
  <c r="F46" i="1"/>
  <c r="G45" i="1"/>
  <c r="F45" i="1"/>
  <c r="G44" i="1"/>
  <c r="F44" i="1"/>
  <c r="G42" i="1"/>
  <c r="F42" i="1"/>
  <c r="G41" i="1"/>
  <c r="F41" i="1"/>
  <c r="G39" i="1"/>
  <c r="F39" i="1"/>
  <c r="G37" i="1"/>
  <c r="F37" i="1"/>
  <c r="G34" i="1"/>
  <c r="F34" i="1"/>
  <c r="G33" i="1"/>
  <c r="F33" i="1"/>
  <c r="G32" i="1"/>
  <c r="F32" i="1"/>
  <c r="G30" i="1"/>
  <c r="F30" i="1"/>
  <c r="G28" i="1"/>
  <c r="F28" i="1"/>
  <c r="G26" i="1"/>
  <c r="F26" i="1"/>
  <c r="G24" i="1"/>
  <c r="F24" i="1"/>
  <c r="G22" i="1"/>
  <c r="F22" i="1"/>
  <c r="G20" i="1"/>
  <c r="F20" i="1"/>
  <c r="G18" i="1"/>
  <c r="F18" i="1"/>
  <c r="G17" i="1"/>
  <c r="F17" i="1"/>
  <c r="G16" i="1"/>
  <c r="F16" i="1"/>
  <c r="G15" i="1"/>
  <c r="F15" i="1"/>
  <c r="G14" i="1"/>
  <c r="F14" i="1"/>
  <c r="G13" i="1"/>
  <c r="F13" i="1"/>
  <c r="G11" i="1"/>
  <c r="F11" i="1"/>
  <c r="G10" i="1"/>
  <c r="F10" i="1"/>
  <c r="G9" i="1"/>
  <c r="F9" i="1"/>
  <c r="G8" i="1"/>
  <c r="F8" i="1"/>
  <c r="G7" i="1"/>
  <c r="F7" i="1"/>
  <c r="G6" i="1"/>
  <c r="F6" i="1"/>
  <c r="H46" i="1"/>
  <c r="E46" i="1"/>
  <c r="H45" i="1"/>
  <c r="E45" i="1"/>
  <c r="H44" i="1"/>
  <c r="E44" i="1"/>
  <c r="H42" i="1"/>
  <c r="E42" i="1"/>
  <c r="H41" i="1"/>
  <c r="E41" i="1"/>
  <c r="H39" i="1"/>
  <c r="E39" i="1"/>
  <c r="H37" i="1"/>
  <c r="E37" i="1"/>
  <c r="H34" i="1"/>
  <c r="E34" i="1"/>
  <c r="H33" i="1"/>
  <c r="E33" i="1"/>
  <c r="H32" i="1"/>
  <c r="E32" i="1"/>
  <c r="H30" i="1"/>
  <c r="E30" i="1"/>
  <c r="H28" i="1"/>
  <c r="E28" i="1"/>
  <c r="H26" i="1"/>
  <c r="E26" i="1"/>
  <c r="H24" i="1"/>
  <c r="E24" i="1"/>
  <c r="H22" i="1"/>
  <c r="E22" i="1"/>
  <c r="H20" i="1"/>
  <c r="E20" i="1"/>
  <c r="H18" i="1"/>
  <c r="E18" i="1"/>
  <c r="H17" i="1"/>
  <c r="E17" i="1"/>
  <c r="H16" i="1"/>
  <c r="E16" i="1"/>
  <c r="H15" i="1"/>
  <c r="E15" i="1"/>
  <c r="H14" i="1"/>
  <c r="E14" i="1"/>
  <c r="H13" i="1"/>
  <c r="E13" i="1"/>
  <c r="H11" i="1"/>
  <c r="E11" i="1"/>
  <c r="H10" i="1"/>
  <c r="E10" i="1"/>
  <c r="H9" i="1"/>
  <c r="E9" i="1"/>
  <c r="H8" i="1"/>
  <c r="E8" i="1"/>
  <c r="H7" i="1"/>
  <c r="E7" i="1"/>
  <c r="H6" i="1"/>
  <c r="E6" i="1"/>
</calcChain>
</file>

<file path=xl/sharedStrings.xml><?xml version="1.0" encoding="utf-8"?>
<sst xmlns="http://schemas.openxmlformats.org/spreadsheetml/2006/main" count="167" uniqueCount="134">
  <si>
    <t>Brand</t>
  </si>
  <si>
    <t>Fragrance Name</t>
  </si>
  <si>
    <t>3ml</t>
  </si>
  <si>
    <t>5ml</t>
  </si>
  <si>
    <t>8ml</t>
  </si>
  <si>
    <t>20ml</t>
  </si>
  <si>
    <t>30ml</t>
  </si>
  <si>
    <t>BNIB</t>
  </si>
  <si>
    <t>Afnan</t>
  </si>
  <si>
    <t>Aventus</t>
  </si>
  <si>
    <t>Black Fume</t>
  </si>
  <si>
    <t>Midnight (Oud al Layl)</t>
  </si>
  <si>
    <t>Cool Water</t>
  </si>
  <si>
    <t>Blue</t>
  </si>
  <si>
    <t>Zeleny</t>
  </si>
  <si>
    <t>Kaaf Extrait</t>
  </si>
  <si>
    <t>Spectre Ghost</t>
  </si>
  <si>
    <t>Blu Oud</t>
  </si>
  <si>
    <t>Rare Reef</t>
  </si>
  <si>
    <t>Muzn</t>
  </si>
  <si>
    <t>Valhalla</t>
  </si>
  <si>
    <t>Habik</t>
  </si>
  <si>
    <t>Khamrah</t>
  </si>
  <si>
    <t>Vanilla Tobacco</t>
  </si>
  <si>
    <t>Turathi Blue</t>
  </si>
  <si>
    <t>Ahmed Al Maghribi</t>
  </si>
  <si>
    <t>Original</t>
  </si>
  <si>
    <t>Rayhaan</t>
  </si>
  <si>
    <t>Nocturno</t>
  </si>
  <si>
    <t>Arabiyat Prestige</t>
  </si>
  <si>
    <t>Davidoff</t>
  </si>
  <si>
    <t>Mancera</t>
  </si>
  <si>
    <t>French Riviera</t>
  </si>
  <si>
    <t>9 PM Night Out</t>
  </si>
  <si>
    <t>Jungle Vibe</t>
  </si>
  <si>
    <t>Rasasi</t>
  </si>
  <si>
    <t>Lattafa</t>
  </si>
  <si>
    <t>Inspired by Angels' Share</t>
  </si>
  <si>
    <t>Maison Alhambra</t>
  </si>
  <si>
    <t>Tobacco Vanille</t>
  </si>
  <si>
    <t>Ibraq</t>
  </si>
  <si>
    <t>Ana Abiyed Coral</t>
  </si>
  <si>
    <t>Tygar</t>
  </si>
  <si>
    <t>SNOI (Supremacy Not Only Intense)</t>
  </si>
  <si>
    <t>Blend inspired by Aventus and Hacivat</t>
  </si>
  <si>
    <t>French Avenue</t>
  </si>
  <si>
    <t>Greenley</t>
  </si>
  <si>
    <t>Ani</t>
  </si>
  <si>
    <t>Sauvage</t>
  </si>
  <si>
    <t>Armaf</t>
  </si>
  <si>
    <t>CDNIM PP (Club de Nuit Intense Man Pure Parfum)</t>
  </si>
  <si>
    <t>Jaguar</t>
  </si>
  <si>
    <t>Fragrantica Link</t>
  </si>
  <si>
    <t>https://www.fragrantica.com/perfume/Ahmed-Al-Maghribi/Black-Fume-132261.html</t>
  </si>
  <si>
    <t>https://www.fragrantica.com/perfume/Ahmed-Al-Maghribi/Blu-Oud-107869.html</t>
  </si>
  <si>
    <t>https://www.fragrantica.com/perfume/Rayhaan/Nocturno-116731.html</t>
  </si>
  <si>
    <t>https://www.fragrantica.com/perfume/Arabiyat-Prestige/Oud-Al-Layl-71446.html</t>
  </si>
  <si>
    <t>https://www.fragrantica.com/perfume/Davidoff/Cool-Water-507.html</t>
  </si>
  <si>
    <t>https://www.fragrantica.com/perfume/Mancera/French-Riviera-74636.html</t>
  </si>
  <si>
    <t>https://www.fragrantica.com/perfume/Afnan/Rare-Reef-106835.html</t>
  </si>
  <si>
    <t>https://www.fragrantica.com/perfume/Afnan/9-PM-Night-Out-123313.html</t>
  </si>
  <si>
    <t>https://www.fragrantica.com/perfume/Rayhaan/Valhalla-113592.html</t>
  </si>
  <si>
    <t>https://www.fragrantica.com/perfume/Rayhaan/Jungle-Vibe-123211.html</t>
  </si>
  <si>
    <t>https://www.fragrantica.com/perfume/Ahmed-Al-Maghribi/Muzn-115736.html</t>
  </si>
  <si>
    <t>https://www.fragrantica.com/perfume/Lattafa-Perfumes/Khamrah-75805.html</t>
  </si>
  <si>
    <t>https://www.fragrantica.com/perfume/Ibraheem-AlQurashi/Blue-Diamond-Aqua-100549.html</t>
  </si>
  <si>
    <t>https://www.fragrantica.com/perfume/Lattafa-Perfumes/Ana-Abiyedh-Coral-103256.html</t>
  </si>
  <si>
    <t>https://www.fragrantica.com/perfume/Ahmed-Al-Maghribi/Blue-by-Ahmed-104882.html</t>
  </si>
  <si>
    <t>https://www.fragrantica.com/perfume/Afnan/Turathi-Blue-70839.html</t>
  </si>
  <si>
    <t>https://www.fragrantica.com/perfume/Afnan/Supremacy-Not-Only-Intense-68271.html</t>
  </si>
  <si>
    <t>https://www.fragrantica.com/perfume/Ahmed-Al-Maghribi/Zeleny-104216.html</t>
  </si>
  <si>
    <t>https://www.fragrantica.com/perfume/Ahmed-Al-Maghribi/Kaaf-102460.html</t>
  </si>
  <si>
    <t>https://www.fragrantica.com/perfume/French-Avenue/Spectre-Ghost-94697.html</t>
  </si>
  <si>
    <t>https://www.fragrantica.com/perfume/Afnan/Modest-Pour-Homme-Une-69256.html</t>
  </si>
  <si>
    <t>https://www.fragrantica.com/perfume/Armaf/Club-de-Nuit-Intense-Man-Parfum-72842.html</t>
  </si>
  <si>
    <t>https://www.fragrantica.com/perfume/Jaguar/Jaguar-Classic-Black-11793.html</t>
  </si>
  <si>
    <t>https://www.fragrantica.com/perfume/Lattafa-Perfumes/Habik-For-Men-110353.html</t>
  </si>
  <si>
    <t>https://www.fragrantica.com/perfume/Afnan/Supremacy-Collector-s-Edition-Pour-Homme-98689.html</t>
  </si>
  <si>
    <t>Pacific Chill</t>
  </si>
  <si>
    <t>Angels' Share Paradis</t>
  </si>
  <si>
    <t>Santal Greenery</t>
  </si>
  <si>
    <t>Aventus Absolu</t>
  </si>
  <si>
    <t>Parfumo Link</t>
  </si>
  <si>
    <t>https://www.parfumo.com/Perfumes/Ahmed_Al_Maghribi/blu-oud</t>
  </si>
  <si>
    <t>https://www.parfumo.com/Perfumes/rayhaan/nocturno</t>
  </si>
  <si>
    <t>https://www.parfumo.com/Perfumes/Arabiyat/oud-al-layl-eau-de-parfum</t>
  </si>
  <si>
    <t>https://www.parfumo.com/Perfumes/Davidoff/Cool_Water_Eau_de_Toilette</t>
  </si>
  <si>
    <t>https://www.parfumo.com/Perfumes/Mancera/french-riviera</t>
  </si>
  <si>
    <t>https://www.parfumo.com/Perfumes/Afnan_Perfumes/rare-reef</t>
  </si>
  <si>
    <t>https://www.parfumo.com/Perfumes/Afnan_Perfumes/9pm-night-out</t>
  </si>
  <si>
    <t>https://www.parfumo.com/Perfumes/rayhaan/valhalla-x-legion</t>
  </si>
  <si>
    <t>https://www.parfumo.com/Perfumes/rayhaan/jungle-vibe</t>
  </si>
  <si>
    <t>https://www.parfumo.com/Perfumes/Ahmed_Al_Maghribi/muzn</t>
  </si>
  <si>
    <t>https://www.parfumo.com/Perfumes/arabiyat-prestige/habib-1</t>
  </si>
  <si>
    <t>https://www.parfumo.com/Perfumes/Lattafa/khamrah</t>
  </si>
  <si>
    <t>https://www.parfumo.com/Perfumes/ibraheem-al-qurashi/blue-diamond-aqua</t>
  </si>
  <si>
    <t>https://www.parfumo.com/Perfumes/Lattafa/ana-abiyedh-coral</t>
  </si>
  <si>
    <t>https://www.parfumo.com/Perfumes/Ahmed_Al_Maghribi/blue</t>
  </si>
  <si>
    <t>https://www.parfumo.com/Perfumes/Afnan_Perfumes/turathi-blue</t>
  </si>
  <si>
    <t>https://www.parfumo.com/Perfumes/Afnan_Perfumes/supremacy-not-only-intense</t>
  </si>
  <si>
    <t>https://www.parfumo.com/Perfumes/Afnan_Perfumes/supremacy-collector-s-edition</t>
  </si>
  <si>
    <t>https://www.parfumo.com/Perfumes/Ahmed_Al_Maghribi/zeleny</t>
  </si>
  <si>
    <t>https://www.parfumo.com/Perfumes/Ahmed_Al_Maghribi/kaaf</t>
  </si>
  <si>
    <t>https://www.parfumo.com/Perfumes/french-avenue/spectre-ghost</t>
  </si>
  <si>
    <t>https://www.parfumo.com/Perfumes/Afnan_Perfumes/modest-une-pour-homme</t>
  </si>
  <si>
    <t>https://www.parfumo.com/Perfumes/Armaf/club-de-nuit-intense-man-parfum</t>
  </si>
  <si>
    <t>https://www.parfumo.com/Perfumes/Jaguar/classic-black-eau-de-toilette</t>
  </si>
  <si>
    <t>Supremacy Collector's Edition</t>
  </si>
  <si>
    <t>Modest Une Pour Homme</t>
  </si>
  <si>
    <t>Classic Black</t>
  </si>
  <si>
    <t>Bleu de Chanel</t>
  </si>
  <si>
    <t>Wavechild Room 1015</t>
  </si>
  <si>
    <t>Blue Diamond Aqua</t>
  </si>
  <si>
    <t>Imperial Valley</t>
  </si>
  <si>
    <t>Forever Wanted Elixir Azzaro</t>
  </si>
  <si>
    <t>Hawas</t>
  </si>
  <si>
    <t>Terroni</t>
  </si>
  <si>
    <t>#</t>
  </si>
  <si>
    <t>Inspired From</t>
  </si>
  <si>
    <t>Percival Parfums de Marly</t>
  </si>
  <si>
    <t>Ombre Leather / Imperial Valley</t>
  </si>
  <si>
    <t>N/A (Fragrance World banned on Parfumo)</t>
  </si>
  <si>
    <t>Le Male Essence de Parfum</t>
  </si>
  <si>
    <t>Sauvage / Bleu de Chanel</t>
  </si>
  <si>
    <t>Pendora Scents</t>
  </si>
  <si>
    <t>https://www.fragrantica.com/perfume/Paris-Corner/Charuto-Tobacco-Vanille-84143.html</t>
  </si>
  <si>
    <t>https://www.parfumo.com/Perfumes/pendora-scents/charuto-tobacco-vanille</t>
  </si>
  <si>
    <t>Daarej Pour Homme</t>
  </si>
  <si>
    <t>https://www.fragrantica.com/perfume/Rasasi/Daarej-Pour-Homme-75411.html</t>
  </si>
  <si>
    <t>https://www.parfumo.com/Perfumes/rasasi/daarej-pour-homme</t>
  </si>
  <si>
    <t>Hawas Kobra</t>
  </si>
  <si>
    <t>https://www.fragrantica.com/perfume/Rasasi/Hawas-Kobra-87141.html</t>
  </si>
  <si>
    <t>https://www.parfumo.com/Perfumes/rasasi/hawas-kobra</t>
  </si>
  <si>
    <t>10% DISCOUNT on first week's orders. Shipping: Flat ₹50 Delhi, ₹80 rest of India. North East &amp; J&amp;K – actuals (contact for quote). Note: Record an unpacking video. No refund without video proof.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</si>
</sst>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Segoe UI"/>
      <family val="2"/>
    </font>
    <font>
      <u/>
      <sz val="11"/>
      <color rgb="FF000000"/>
      <name val="Segoe UI"/>
      <family val="2"/>
    </font>
    <font>
      <b/>
      <sz val="11"/>
      <color rgb="FF3D2C5E"/>
      <name val="Segoe UI"/>
      <family val="2"/>
    </font>
    <font>
      <b/>
      <sz val="14"/>
      <color rgb="FF3D2C5E"/>
      <name val="Segoe UI"/>
      <family val="2"/>
    </font>
    <font>
      <b/>
      <sz val="11"/>
      <color rgb="FF7BC47E"/>
      <name val="Segoe UI"/>
      <family val="2"/>
    </font>
    <font>
      <u/>
      <sz val="11"/>
      <color rgb="FF6B8DB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4C5E2"/>
        <bgColor indexed="64"/>
      </patternFill>
    </fill>
    <fill>
      <patternFill patternType="solid">
        <fgColor rgb="FFF5F0F8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right" vertical="center"/>
    </xf>
    <xf numFmtId="4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5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4" borderId="4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4" fontId="2" fillId="4" borderId="4" xfId="0" applyNumberFormat="1" applyFont="1" applyFill="1" applyBorder="1" applyAlignment="1">
      <alignment horizontal="right" vertical="top"/>
    </xf>
    <xf numFmtId="4" fontId="2" fillId="2" borderId="4" xfId="0" applyNumberFormat="1" applyFont="1" applyFill="1" applyBorder="1" applyAlignment="1">
      <alignment horizontal="right" vertical="top"/>
    </xf>
    <xf numFmtId="0" fontId="2" fillId="4" borderId="4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4" fontId="2" fillId="4" borderId="4" xfId="0" applyNumberFormat="1" applyFont="1" applyFill="1" applyBorder="1" applyAlignment="1">
      <alignment horizontal="center" vertical="top"/>
    </xf>
    <xf numFmtId="4" fontId="2" fillId="2" borderId="4" xfId="0" applyNumberFormat="1" applyFont="1" applyFill="1" applyBorder="1" applyAlignment="1">
      <alignment horizontal="center" vertical="top"/>
    </xf>
    <xf numFmtId="0" fontId="0" fillId="5" borderId="0" xfId="0" applyFill="1"/>
    <xf numFmtId="0" fontId="0" fillId="5" borderId="7" xfId="0" applyFill="1" applyBorder="1"/>
    <xf numFmtId="0" fontId="4" fillId="3" borderId="0" xfId="0" applyFont="1" applyFill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top"/>
    </xf>
    <xf numFmtId="0" fontId="5" fillId="3" borderId="5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42</xdr:row>
      <xdr:rowOff>25400</xdr:rowOff>
    </xdr:from>
    <xdr:to>
      <xdr:col>0</xdr:col>
      <xdr:colOff>544739</xdr:colOff>
      <xdr:row>42</xdr:row>
      <xdr:rowOff>457200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E17107-47B3-C1B6-9B2E-259E0E362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21602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26</xdr:row>
      <xdr:rowOff>25400</xdr:rowOff>
    </xdr:from>
    <xdr:to>
      <xdr:col>0</xdr:col>
      <xdr:colOff>544739</xdr:colOff>
      <xdr:row>26</xdr:row>
      <xdr:rowOff>457200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6EC94A-E0AF-ECC6-7AA3-654F8EB2B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2072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24</xdr:row>
      <xdr:rowOff>25400</xdr:rowOff>
    </xdr:from>
    <xdr:to>
      <xdr:col>0</xdr:col>
      <xdr:colOff>544739</xdr:colOff>
      <xdr:row>24</xdr:row>
      <xdr:rowOff>457200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F5F0D94-4F5A-17C3-2C4D-2392D5C608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4960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</xdr:row>
      <xdr:rowOff>25400</xdr:rowOff>
    </xdr:from>
    <xdr:to>
      <xdr:col>0</xdr:col>
      <xdr:colOff>544739</xdr:colOff>
      <xdr:row>18</xdr:row>
      <xdr:rowOff>457200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B16CCAD-32E7-0C66-2782-5FF7DBB84E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3624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</xdr:row>
      <xdr:rowOff>25400</xdr:rowOff>
    </xdr:from>
    <xdr:to>
      <xdr:col>0</xdr:col>
      <xdr:colOff>544739</xdr:colOff>
      <xdr:row>4</xdr:row>
      <xdr:rowOff>457200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E5022A0-11E6-0BF5-6ADC-2E8802383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40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20</xdr:row>
      <xdr:rowOff>25400</xdr:rowOff>
    </xdr:from>
    <xdr:to>
      <xdr:col>0</xdr:col>
      <xdr:colOff>544739</xdr:colOff>
      <xdr:row>20</xdr:row>
      <xdr:rowOff>457200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B155124-B07E-3707-8311-26CACC8A19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0736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11</xdr:row>
      <xdr:rowOff>25400</xdr:rowOff>
    </xdr:from>
    <xdr:to>
      <xdr:col>0</xdr:col>
      <xdr:colOff>544739</xdr:colOff>
      <xdr:row>11</xdr:row>
      <xdr:rowOff>457200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8839BB3-E5A1-48C2-4903-67AA20102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5082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37</xdr:row>
      <xdr:rowOff>25400</xdr:rowOff>
    </xdr:from>
    <xdr:to>
      <xdr:col>0</xdr:col>
      <xdr:colOff>544739</xdr:colOff>
      <xdr:row>37</xdr:row>
      <xdr:rowOff>457200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8125455-3426-C1D3-9BAF-15F8EE527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12204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35</xdr:row>
      <xdr:rowOff>25400</xdr:rowOff>
    </xdr:from>
    <xdr:to>
      <xdr:col>0</xdr:col>
      <xdr:colOff>544739</xdr:colOff>
      <xdr:row>35</xdr:row>
      <xdr:rowOff>457200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BBD782-E357-0B15-77BF-898D7F86D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05092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22</xdr:row>
      <xdr:rowOff>25400</xdr:rowOff>
    </xdr:from>
    <xdr:to>
      <xdr:col>0</xdr:col>
      <xdr:colOff>544739</xdr:colOff>
      <xdr:row>22</xdr:row>
      <xdr:rowOff>457200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01EE945-7158-0B0E-E754-1BF482B235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7848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28</xdr:row>
      <xdr:rowOff>25400</xdr:rowOff>
    </xdr:from>
    <xdr:to>
      <xdr:col>0</xdr:col>
      <xdr:colOff>544739</xdr:colOff>
      <xdr:row>28</xdr:row>
      <xdr:rowOff>457200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7094A58-EE6F-B62C-B00F-03D39E8634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9184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34</xdr:row>
      <xdr:rowOff>25400</xdr:rowOff>
    </xdr:from>
    <xdr:to>
      <xdr:col>0</xdr:col>
      <xdr:colOff>544739</xdr:colOff>
      <xdr:row>34</xdr:row>
      <xdr:rowOff>457200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62209A0-AFF7-30FB-3BFA-294E1F49AE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98050"/>
          <a:ext cx="5080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30</xdr:row>
      <xdr:rowOff>25400</xdr:rowOff>
    </xdr:from>
    <xdr:to>
      <xdr:col>0</xdr:col>
      <xdr:colOff>544739</xdr:colOff>
      <xdr:row>30</xdr:row>
      <xdr:rowOff>457200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EE4CBF-4A42-4AE0-E21A-6FC3F005C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8629650"/>
          <a:ext cx="508000" cy="4318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37</xdr:row>
      <xdr:rowOff>63500</xdr:rowOff>
    </xdr:from>
    <xdr:to>
      <xdr:col>0</xdr:col>
      <xdr:colOff>546100</xdr:colOff>
      <xdr:row>37</xdr:row>
      <xdr:rowOff>563117</xdr:rowOff>
    </xdr:to>
    <xdr:pic>
      <xdr:nvPicPr>
        <xdr:cNvPr id="5" name="Pendora Scents">
          <a:extLst>
            <a:ext uri="{FF2B5EF4-FFF2-40B4-BE49-F238E27FC236}">
              <a16:creationId xmlns:a16="http://schemas.microsoft.com/office/drawing/2014/main" id="{9373E82E-AB6F-B807-B038-FF047A8F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1029950"/>
          <a:ext cx="508000" cy="49961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39</xdr:row>
      <xdr:rowOff>63500</xdr:rowOff>
    </xdr:from>
    <xdr:to>
      <xdr:col>0</xdr:col>
      <xdr:colOff>546100</xdr:colOff>
      <xdr:row>39</xdr:row>
      <xdr:rowOff>286524</xdr:rowOff>
    </xdr:to>
    <xdr:pic>
      <xdr:nvPicPr>
        <xdr:cNvPr id="8" name="Rasasi">
          <a:extLst>
            <a:ext uri="{FF2B5EF4-FFF2-40B4-BE49-F238E27FC236}">
              <a16:creationId xmlns:a16="http://schemas.microsoft.com/office/drawing/2014/main" id="{638B6FD2-33A6-A6BC-DE36-4F32690EB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1855450"/>
          <a:ext cx="508000" cy="223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ragrantica.com/perfume/Ahmed-Al-Maghribi/Black-Fume-132261.html" TargetMode="External"/><Relationship Id="rId18" Type="http://schemas.openxmlformats.org/officeDocument/2006/relationships/hyperlink" Target="https://www.fragrantica.com/perfume/Ahmed-Al-Maghribi/Kaaf-102460.html" TargetMode="External"/><Relationship Id="rId26" Type="http://schemas.openxmlformats.org/officeDocument/2006/relationships/hyperlink" Target="https://www.fragrantica.com/perfume/Armaf/Club-de-Nuit-Intense-Man-Parfum-72842.html" TargetMode="External"/><Relationship Id="rId39" Type="http://schemas.openxmlformats.org/officeDocument/2006/relationships/hyperlink" Target="https://www.parfumo.com/Perfumes/arabiyat-prestige/habib-1" TargetMode="External"/><Relationship Id="rId21" Type="http://schemas.openxmlformats.org/officeDocument/2006/relationships/hyperlink" Target="https://www.parfumo.com/Perfumes/Ahmed_Al_Maghribi/muzn" TargetMode="External"/><Relationship Id="rId34" Type="http://schemas.openxmlformats.org/officeDocument/2006/relationships/hyperlink" Target="https://www.fragrantica.com/perfume/Jaguar/Jaguar-Classic-Black-11793.html" TargetMode="External"/><Relationship Id="rId42" Type="http://schemas.openxmlformats.org/officeDocument/2006/relationships/hyperlink" Target="https://www.fragrantica.com/perfume/Mancera/French-Riviera-74636.html" TargetMode="External"/><Relationship Id="rId47" Type="http://schemas.openxmlformats.org/officeDocument/2006/relationships/hyperlink" Target="https://www.parfumo.com/Perfumes/rayhaan/jungle-vibe" TargetMode="External"/><Relationship Id="rId50" Type="http://schemas.openxmlformats.org/officeDocument/2006/relationships/hyperlink" Target="https://www.fragrantica.com/perfume/Rayhaan/Valhalla-113592.html" TargetMode="External"/><Relationship Id="rId7" Type="http://schemas.openxmlformats.org/officeDocument/2006/relationships/hyperlink" Target="https://www.fragrantica.com/perfume/Afnan/Supremacy-Not-Only-Intense-68271.html" TargetMode="External"/><Relationship Id="rId2" Type="http://schemas.openxmlformats.org/officeDocument/2006/relationships/hyperlink" Target="https://www.parfumo.com/Perfumes/Afnan_Perfumes/9pm-night-out" TargetMode="External"/><Relationship Id="rId16" Type="http://schemas.openxmlformats.org/officeDocument/2006/relationships/hyperlink" Target="https://www.fragrantica.com/perfume/Ahmed-Al-Maghribi/Blue-by-Ahmed-104882.html" TargetMode="External"/><Relationship Id="rId29" Type="http://schemas.openxmlformats.org/officeDocument/2006/relationships/hyperlink" Target="https://www.parfumo.com/Perfumes/Davidoff/Cool_Water_Eau_de_Toilette" TargetMode="External"/><Relationship Id="rId11" Type="http://schemas.openxmlformats.org/officeDocument/2006/relationships/hyperlink" Target="https://www.fragrantica.com/perfume/Afnan/Turathi-Blue-70839.html" TargetMode="External"/><Relationship Id="rId24" Type="http://schemas.openxmlformats.org/officeDocument/2006/relationships/hyperlink" Target="https://www.fragrantica.com/perfume/Arabiyat-Prestige/Oud-Al-Layl-71446.html" TargetMode="External"/><Relationship Id="rId32" Type="http://schemas.openxmlformats.org/officeDocument/2006/relationships/hyperlink" Target="https://www.fragrantica.com/perfume/Ibraheem-AlQurashi/Blue-Diamond-Aqua-100549.html" TargetMode="External"/><Relationship Id="rId37" Type="http://schemas.openxmlformats.org/officeDocument/2006/relationships/hyperlink" Target="https://www.parfumo.com/Perfumes/Lattafa/ana-abiyedh-coral" TargetMode="External"/><Relationship Id="rId40" Type="http://schemas.openxmlformats.org/officeDocument/2006/relationships/hyperlink" Target="https://www.fragrantica.com/perfume/Lattafa-Perfumes/Khamrah-75805.html" TargetMode="External"/><Relationship Id="rId45" Type="http://schemas.openxmlformats.org/officeDocument/2006/relationships/hyperlink" Target="https://www.parfumo.com/Perfumes/Rasasi/daarej-pour-homme" TargetMode="External"/><Relationship Id="rId5" Type="http://schemas.openxmlformats.org/officeDocument/2006/relationships/hyperlink" Target="https://www.fragrantica.com/perfume/Afnan/Rare-Reef-106835.html" TargetMode="External"/><Relationship Id="rId15" Type="http://schemas.openxmlformats.org/officeDocument/2006/relationships/hyperlink" Target="https://www.parfumo.com/Perfumes/Ahmed_Al_Maghribi/blu-oud" TargetMode="External"/><Relationship Id="rId23" Type="http://schemas.openxmlformats.org/officeDocument/2006/relationships/hyperlink" Target="https://www.parfumo.com/Perfumes/Ahmed_Al_Maghribi/zeleny" TargetMode="External"/><Relationship Id="rId28" Type="http://schemas.openxmlformats.org/officeDocument/2006/relationships/hyperlink" Target="https://www.fragrantica.com/perfume/Davidoff/Cool-Water-507.html" TargetMode="External"/><Relationship Id="rId36" Type="http://schemas.openxmlformats.org/officeDocument/2006/relationships/hyperlink" Target="https://www.fragrantica.com/perfume/Lattafa-Perfumes/Ana-Abiyedh-Coral-103256.html" TargetMode="External"/><Relationship Id="rId49" Type="http://schemas.openxmlformats.org/officeDocument/2006/relationships/hyperlink" Target="https://www.parfumo.com/Perfumes/rayhaan/nocturno" TargetMode="External"/><Relationship Id="rId10" Type="http://schemas.openxmlformats.org/officeDocument/2006/relationships/hyperlink" Target="https://www.parfumo.com/Perfumes/Afnan_Perfumes/supremacy-collector-s-edition" TargetMode="External"/><Relationship Id="rId19" Type="http://schemas.openxmlformats.org/officeDocument/2006/relationships/hyperlink" Target="https://www.parfumo.com/Perfumes/Ahmed_Al_Maghribi/kaaf" TargetMode="External"/><Relationship Id="rId31" Type="http://schemas.openxmlformats.org/officeDocument/2006/relationships/hyperlink" Target="https://www.parfumo.com/Perfumes/french-avenue/spectre-ghost" TargetMode="External"/><Relationship Id="rId44" Type="http://schemas.openxmlformats.org/officeDocument/2006/relationships/hyperlink" Target="https://www.fragrantica.com/perfume/Rasasi/Daarej-pour-Homme-19688.html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s://www.parfumo.com/Perfumes/Afnan_Perfumes/modest-une-pour-homme" TargetMode="External"/><Relationship Id="rId9" Type="http://schemas.openxmlformats.org/officeDocument/2006/relationships/hyperlink" Target="https://www.fragrantica.com/perfume/Afnan/Supremacy-Collector-s-Edition-Pour-Homme-98689.html" TargetMode="External"/><Relationship Id="rId14" Type="http://schemas.openxmlformats.org/officeDocument/2006/relationships/hyperlink" Target="https://www.fragrantica.com/perfume/Ahmed-Al-Maghribi/Blu-Oud-107869.html" TargetMode="External"/><Relationship Id="rId22" Type="http://schemas.openxmlformats.org/officeDocument/2006/relationships/hyperlink" Target="https://www.fragrantica.com/perfume/Ahmed-Al-Maghribi/Zeleny-104216.html" TargetMode="External"/><Relationship Id="rId27" Type="http://schemas.openxmlformats.org/officeDocument/2006/relationships/hyperlink" Target="https://www.parfumo.com/Perfumes/Armaf/club-de-nuit-intense-man-parfum" TargetMode="External"/><Relationship Id="rId30" Type="http://schemas.openxmlformats.org/officeDocument/2006/relationships/hyperlink" Target="https://www.fragrantica.com/perfume/French-Avenue/Spectre-Ghost-94697.html" TargetMode="External"/><Relationship Id="rId35" Type="http://schemas.openxmlformats.org/officeDocument/2006/relationships/hyperlink" Target="https://www.parfumo.com/Perfumes/Jaguar/classic-black-eau-de-toilette" TargetMode="External"/><Relationship Id="rId43" Type="http://schemas.openxmlformats.org/officeDocument/2006/relationships/hyperlink" Target="https://www.parfumo.com/Perfumes/Mancera/french-riviera" TargetMode="External"/><Relationship Id="rId48" Type="http://schemas.openxmlformats.org/officeDocument/2006/relationships/hyperlink" Target="https://www.fragrantica.com/perfume/Rayhaan/Nocturno-116731.html" TargetMode="External"/><Relationship Id="rId8" Type="http://schemas.openxmlformats.org/officeDocument/2006/relationships/hyperlink" Target="https://www.parfumo.com/Perfumes/Afnan_Perfumes/supremacy-not-only-intense" TargetMode="External"/><Relationship Id="rId51" Type="http://schemas.openxmlformats.org/officeDocument/2006/relationships/hyperlink" Target="https://www.parfumo.com/Perfumes/rayhaan/valhalla-x-legion" TargetMode="External"/><Relationship Id="rId3" Type="http://schemas.openxmlformats.org/officeDocument/2006/relationships/hyperlink" Target="https://www.fragrantica.com/perfume/Afnan/Modest-Pour-Homme-Une-69256.html" TargetMode="External"/><Relationship Id="rId12" Type="http://schemas.openxmlformats.org/officeDocument/2006/relationships/hyperlink" Target="https://www.parfumo.com/Perfumes/Afnan_Perfumes/turathi-blue" TargetMode="External"/><Relationship Id="rId17" Type="http://schemas.openxmlformats.org/officeDocument/2006/relationships/hyperlink" Target="https://www.parfumo.com/Perfumes/Ahmed_Al_Maghribi/blue" TargetMode="External"/><Relationship Id="rId25" Type="http://schemas.openxmlformats.org/officeDocument/2006/relationships/hyperlink" Target="https://www.parfumo.com/Perfumes/Arabiyat/oud-al-layl-eau-de-parfum" TargetMode="External"/><Relationship Id="rId33" Type="http://schemas.openxmlformats.org/officeDocument/2006/relationships/hyperlink" Target="https://www.parfumo.com/Perfumes/ibraheem-al-qurashi/blue-diamond-aqua" TargetMode="External"/><Relationship Id="rId38" Type="http://schemas.openxmlformats.org/officeDocument/2006/relationships/hyperlink" Target="https://www.fragrantica.com/perfume/Lattafa-Perfumes/Habik-For-Men-110353.html" TargetMode="External"/><Relationship Id="rId46" Type="http://schemas.openxmlformats.org/officeDocument/2006/relationships/hyperlink" Target="https://www.fragrantica.com/perfume/Rayhaan/Jungle-Vibe-123211.html" TargetMode="External"/><Relationship Id="rId20" Type="http://schemas.openxmlformats.org/officeDocument/2006/relationships/hyperlink" Target="https://www.fragrantica.com/perfume/Ahmed-Al-Maghribi/Muzn-115736.html" TargetMode="External"/><Relationship Id="rId41" Type="http://schemas.openxmlformats.org/officeDocument/2006/relationships/hyperlink" Target="https://www.parfumo.com/Perfumes/Lattafa/khamrah" TargetMode="External"/><Relationship Id="rId1" Type="http://schemas.openxmlformats.org/officeDocument/2006/relationships/hyperlink" Target="https://www.fragrantica.com/perfume/Afnan/9-PM-Night-Out-123313.html" TargetMode="External"/><Relationship Id="rId6" Type="http://schemas.openxmlformats.org/officeDocument/2006/relationships/hyperlink" Target="https://www.parfumo.com/Perfumes/Afnan_Perfumes/rare-re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E129-BC03-4BF2-A478-6F724866947E}">
  <dimension ref="A1:M46"/>
  <sheetViews>
    <sheetView tabSelected="1" topLeftCell="B1" zoomScale="85" zoomScaleNormal="85" workbookViewId="0">
      <pane ySplit="4" topLeftCell="A6" activePane="bottomLeft" state="frozenSplit"/>
      <selection activeCell="C1" sqref="C1"/>
      <selection pane="bottomLeft" activeCell="G6" sqref="G6"/>
    </sheetView>
  </sheetViews>
  <sheetFormatPr defaultRowHeight="14.75" x14ac:dyDescent="0.75"/>
  <cols>
    <col min="1" max="1" width="12.6796875" customWidth="1"/>
    <col min="2" max="2" width="22.6796875" customWidth="1"/>
    <col min="3" max="3" width="38.6796875" customWidth="1"/>
    <col min="4" max="4" width="34.6796875" customWidth="1"/>
    <col min="5" max="9" width="11.6796875" customWidth="1"/>
    <col min="10" max="10" width="10.6796875" customWidth="1"/>
    <col min="11" max="11" width="95.86328125" bestFit="1" customWidth="1"/>
    <col min="12" max="12" width="78.90625" bestFit="1" customWidth="1"/>
  </cols>
  <sheetData>
    <row r="1" spans="1:13" ht="50" customHeight="1" x14ac:dyDescent="0.75">
      <c r="A1" s="33" t="s">
        <v>133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x14ac:dyDescent="0.7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x14ac:dyDescent="0.7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ht="20" customHeight="1" x14ac:dyDescent="0.75">
      <c r="A4" s="8" t="s">
        <v>117</v>
      </c>
      <c r="B4" s="9" t="s">
        <v>0</v>
      </c>
      <c r="C4" s="9" t="s">
        <v>1</v>
      </c>
      <c r="D4" s="9" t="s">
        <v>118</v>
      </c>
      <c r="E4" s="9" t="s">
        <v>2</v>
      </c>
      <c r="F4" s="9" t="s">
        <v>3</v>
      </c>
      <c r="G4" s="9" t="s">
        <v>4</v>
      </c>
      <c r="H4" s="9" t="s">
        <v>5</v>
      </c>
      <c r="I4" s="9" t="s">
        <v>6</v>
      </c>
      <c r="J4" s="9" t="s">
        <v>7</v>
      </c>
      <c r="K4" s="8" t="s">
        <v>52</v>
      </c>
      <c r="L4" s="8" t="s">
        <v>82</v>
      </c>
    </row>
    <row r="5" spans="1:13" ht="38" customHeight="1" x14ac:dyDescent="1.05">
      <c r="A5" s="10"/>
      <c r="B5" s="35" t="s">
        <v>8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ht="18" customHeight="1" x14ac:dyDescent="0.75">
      <c r="A6" s="1">
        <v>1</v>
      </c>
      <c r="B6" s="1" t="s">
        <v>8</v>
      </c>
      <c r="C6" s="2" t="s">
        <v>33</v>
      </c>
      <c r="D6" s="2" t="s">
        <v>114</v>
      </c>
      <c r="E6" s="3">
        <f t="shared" ref="E6:E11" si="0">IF(I6&lt;&gt;"",CEILING(3*(I6/30+9),5),"")</f>
        <v>125</v>
      </c>
      <c r="F6" s="3">
        <f t="shared" ref="F6:F11" si="1">IF(I6&lt;&gt;"",CEILING(5*(I6/30+6),5),"")</f>
        <v>190</v>
      </c>
      <c r="G6" s="3">
        <f t="shared" ref="G6:G11" si="2">IF(I6&lt;&gt;"",CEILING(8*(I6/30+4),5),"")</f>
        <v>290</v>
      </c>
      <c r="H6" s="3">
        <f t="shared" ref="H6:H11" si="3">IF(I6&lt;&gt;"",CEILING(20*(I6/30+1),5),"")</f>
        <v>655</v>
      </c>
      <c r="I6" s="4">
        <v>950</v>
      </c>
      <c r="J6" s="2"/>
      <c r="K6" s="19" t="s">
        <v>60</v>
      </c>
      <c r="L6" s="19" t="s">
        <v>89</v>
      </c>
    </row>
    <row r="7" spans="1:13" ht="18" customHeight="1" x14ac:dyDescent="0.75">
      <c r="A7" s="12">
        <v>2</v>
      </c>
      <c r="B7" s="12" t="s">
        <v>8</v>
      </c>
      <c r="C7" s="13" t="s">
        <v>108</v>
      </c>
      <c r="D7" s="13" t="s">
        <v>48</v>
      </c>
      <c r="E7" s="14">
        <f t="shared" si="0"/>
        <v>105</v>
      </c>
      <c r="F7" s="14">
        <f t="shared" si="1"/>
        <v>160</v>
      </c>
      <c r="G7" s="14">
        <f t="shared" si="2"/>
        <v>240</v>
      </c>
      <c r="H7" s="14">
        <f t="shared" si="3"/>
        <v>540</v>
      </c>
      <c r="I7" s="13">
        <v>780</v>
      </c>
      <c r="J7" s="13"/>
      <c r="K7" s="20" t="s">
        <v>73</v>
      </c>
      <c r="L7" s="20" t="s">
        <v>104</v>
      </c>
    </row>
    <row r="8" spans="1:13" ht="18" customHeight="1" x14ac:dyDescent="0.75">
      <c r="A8" s="1">
        <v>3</v>
      </c>
      <c r="B8" s="1" t="s">
        <v>8</v>
      </c>
      <c r="C8" s="2" t="s">
        <v>18</v>
      </c>
      <c r="D8" s="2" t="s">
        <v>78</v>
      </c>
      <c r="E8" s="3">
        <f t="shared" si="0"/>
        <v>120</v>
      </c>
      <c r="F8" s="3">
        <f t="shared" si="1"/>
        <v>180</v>
      </c>
      <c r="G8" s="3">
        <f t="shared" si="2"/>
        <v>275</v>
      </c>
      <c r="H8" s="3">
        <f t="shared" si="3"/>
        <v>620</v>
      </c>
      <c r="I8" s="2">
        <v>900</v>
      </c>
      <c r="J8" s="2"/>
      <c r="K8" s="19" t="s">
        <v>59</v>
      </c>
      <c r="L8" s="19" t="s">
        <v>88</v>
      </c>
    </row>
    <row r="9" spans="1:13" ht="18" customHeight="1" x14ac:dyDescent="0.75">
      <c r="A9" s="12">
        <v>4</v>
      </c>
      <c r="B9" s="12" t="s">
        <v>8</v>
      </c>
      <c r="C9" s="13" t="s">
        <v>43</v>
      </c>
      <c r="D9" s="13" t="s">
        <v>44</v>
      </c>
      <c r="E9" s="14">
        <f t="shared" si="0"/>
        <v>110</v>
      </c>
      <c r="F9" s="14">
        <f t="shared" si="1"/>
        <v>165</v>
      </c>
      <c r="G9" s="14">
        <f t="shared" si="2"/>
        <v>250</v>
      </c>
      <c r="H9" s="14">
        <f t="shared" si="3"/>
        <v>555</v>
      </c>
      <c r="I9" s="13">
        <v>800</v>
      </c>
      <c r="J9" s="13"/>
      <c r="K9" s="20" t="s">
        <v>69</v>
      </c>
      <c r="L9" s="20" t="s">
        <v>99</v>
      </c>
    </row>
    <row r="10" spans="1:13" ht="18" customHeight="1" x14ac:dyDescent="0.75">
      <c r="A10" s="1">
        <v>5</v>
      </c>
      <c r="B10" s="1" t="s">
        <v>8</v>
      </c>
      <c r="C10" s="2" t="s">
        <v>107</v>
      </c>
      <c r="D10" s="2" t="s">
        <v>81</v>
      </c>
      <c r="E10" s="3">
        <f t="shared" si="0"/>
        <v>150</v>
      </c>
      <c r="F10" s="3">
        <f t="shared" si="1"/>
        <v>230</v>
      </c>
      <c r="G10" s="3">
        <f t="shared" si="2"/>
        <v>355</v>
      </c>
      <c r="H10" s="3">
        <f t="shared" si="3"/>
        <v>820</v>
      </c>
      <c r="I10" s="2">
        <v>1200</v>
      </c>
      <c r="J10" s="2"/>
      <c r="K10" s="19" t="s">
        <v>77</v>
      </c>
      <c r="L10" s="19" t="s">
        <v>100</v>
      </c>
    </row>
    <row r="11" spans="1:13" ht="18" customHeight="1" x14ac:dyDescent="0.75">
      <c r="A11" s="12">
        <v>6</v>
      </c>
      <c r="B11" s="12" t="s">
        <v>8</v>
      </c>
      <c r="C11" s="13" t="s">
        <v>24</v>
      </c>
      <c r="D11" s="13" t="s">
        <v>42</v>
      </c>
      <c r="E11" s="14">
        <f t="shared" si="0"/>
        <v>115</v>
      </c>
      <c r="F11" s="14">
        <f t="shared" si="1"/>
        <v>175</v>
      </c>
      <c r="G11" s="14">
        <f t="shared" si="2"/>
        <v>260</v>
      </c>
      <c r="H11" s="14">
        <f t="shared" si="3"/>
        <v>590</v>
      </c>
      <c r="I11" s="13">
        <v>850</v>
      </c>
      <c r="J11" s="13"/>
      <c r="K11" s="20" t="s">
        <v>68</v>
      </c>
      <c r="L11" s="20" t="s">
        <v>98</v>
      </c>
    </row>
    <row r="12" spans="1:13" ht="38" customHeight="1" x14ac:dyDescent="1.05">
      <c r="A12" s="10"/>
      <c r="B12" s="34" t="s">
        <v>25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3" ht="18" customHeight="1" x14ac:dyDescent="0.75">
      <c r="A13" s="1">
        <v>7</v>
      </c>
      <c r="B13" s="1" t="s">
        <v>25</v>
      </c>
      <c r="C13" s="2" t="s">
        <v>10</v>
      </c>
      <c r="D13" s="2" t="s">
        <v>116</v>
      </c>
      <c r="E13" s="3">
        <f t="shared" ref="E13:E18" si="4">IF(I13&lt;&gt;"",CEILING(3*(I13/30+9),5),"")</f>
        <v>100</v>
      </c>
      <c r="F13" s="3">
        <f t="shared" ref="F13:F18" si="5">IF(I13&lt;&gt;"",CEILING(5*(I13/30+6),5),"")</f>
        <v>150</v>
      </c>
      <c r="G13" s="3">
        <f t="shared" ref="G13:G18" si="6">IF(I13&lt;&gt;"",CEILING(8*(I13/30+4),5),"")</f>
        <v>220</v>
      </c>
      <c r="H13" s="3">
        <f t="shared" ref="H13:H18" si="7">IF(I13&lt;&gt;"",CEILING(20*(I13/30+1),5),"")</f>
        <v>490</v>
      </c>
      <c r="I13" s="2">
        <v>700</v>
      </c>
      <c r="J13" s="2"/>
      <c r="K13" s="19" t="s">
        <v>53</v>
      </c>
      <c r="L13" s="5" t="s">
        <v>121</v>
      </c>
    </row>
    <row r="14" spans="1:13" ht="18" customHeight="1" x14ac:dyDescent="0.75">
      <c r="A14" s="12">
        <v>8</v>
      </c>
      <c r="B14" s="12" t="s">
        <v>25</v>
      </c>
      <c r="C14" s="13" t="s">
        <v>17</v>
      </c>
      <c r="D14" s="13" t="s">
        <v>120</v>
      </c>
      <c r="E14" s="14">
        <f t="shared" si="4"/>
        <v>95</v>
      </c>
      <c r="F14" s="14">
        <f t="shared" si="5"/>
        <v>140</v>
      </c>
      <c r="G14" s="14">
        <f t="shared" si="6"/>
        <v>210</v>
      </c>
      <c r="H14" s="14">
        <f t="shared" si="7"/>
        <v>455</v>
      </c>
      <c r="I14" s="13">
        <v>650</v>
      </c>
      <c r="J14" s="13"/>
      <c r="K14" s="20" t="s">
        <v>54</v>
      </c>
      <c r="L14" s="20" t="s">
        <v>83</v>
      </c>
    </row>
    <row r="15" spans="1:13" ht="18" customHeight="1" x14ac:dyDescent="0.75">
      <c r="A15" s="1">
        <v>9</v>
      </c>
      <c r="B15" s="1" t="s">
        <v>25</v>
      </c>
      <c r="C15" s="2" t="s">
        <v>13</v>
      </c>
      <c r="D15" s="2" t="s">
        <v>110</v>
      </c>
      <c r="E15" s="3">
        <f t="shared" si="4"/>
        <v>90</v>
      </c>
      <c r="F15" s="3">
        <f t="shared" si="5"/>
        <v>130</v>
      </c>
      <c r="G15" s="3">
        <f t="shared" si="6"/>
        <v>195</v>
      </c>
      <c r="H15" s="3">
        <f t="shared" si="7"/>
        <v>420</v>
      </c>
      <c r="I15" s="2">
        <v>600</v>
      </c>
      <c r="J15" s="2"/>
      <c r="K15" s="19" t="s">
        <v>67</v>
      </c>
      <c r="L15" s="19" t="s">
        <v>97</v>
      </c>
    </row>
    <row r="16" spans="1:13" ht="18" customHeight="1" x14ac:dyDescent="0.75">
      <c r="A16" s="12">
        <v>10</v>
      </c>
      <c r="B16" s="12" t="s">
        <v>25</v>
      </c>
      <c r="C16" s="13" t="s">
        <v>15</v>
      </c>
      <c r="D16" s="13" t="s">
        <v>119</v>
      </c>
      <c r="E16" s="14">
        <f t="shared" si="4"/>
        <v>95</v>
      </c>
      <c r="F16" s="14">
        <f t="shared" si="5"/>
        <v>145</v>
      </c>
      <c r="G16" s="14">
        <f t="shared" si="6"/>
        <v>215</v>
      </c>
      <c r="H16" s="14">
        <f t="shared" si="7"/>
        <v>475</v>
      </c>
      <c r="I16" s="13">
        <v>680</v>
      </c>
      <c r="J16" s="13"/>
      <c r="K16" s="20" t="s">
        <v>71</v>
      </c>
      <c r="L16" s="20" t="s">
        <v>102</v>
      </c>
    </row>
    <row r="17" spans="1:12" ht="18" customHeight="1" x14ac:dyDescent="0.75">
      <c r="A17" s="1">
        <v>11</v>
      </c>
      <c r="B17" s="1" t="s">
        <v>25</v>
      </c>
      <c r="C17" s="2" t="s">
        <v>19</v>
      </c>
      <c r="D17" s="17" t="s">
        <v>26</v>
      </c>
      <c r="E17" s="3">
        <f t="shared" si="4"/>
        <v>110</v>
      </c>
      <c r="F17" s="3">
        <f t="shared" si="5"/>
        <v>165</v>
      </c>
      <c r="G17" s="3">
        <f t="shared" si="6"/>
        <v>250</v>
      </c>
      <c r="H17" s="3">
        <f t="shared" si="7"/>
        <v>555</v>
      </c>
      <c r="I17" s="2">
        <v>800</v>
      </c>
      <c r="J17" s="2"/>
      <c r="K17" s="19" t="s">
        <v>63</v>
      </c>
      <c r="L17" s="19" t="s">
        <v>92</v>
      </c>
    </row>
    <row r="18" spans="1:12" ht="18" customHeight="1" x14ac:dyDescent="0.75">
      <c r="A18" s="12">
        <v>12</v>
      </c>
      <c r="B18" s="12" t="s">
        <v>25</v>
      </c>
      <c r="C18" s="13" t="s">
        <v>14</v>
      </c>
      <c r="D18" s="13" t="s">
        <v>46</v>
      </c>
      <c r="E18" s="14">
        <f t="shared" si="4"/>
        <v>90</v>
      </c>
      <c r="F18" s="14">
        <f t="shared" si="5"/>
        <v>130</v>
      </c>
      <c r="G18" s="14">
        <f t="shared" si="6"/>
        <v>195</v>
      </c>
      <c r="H18" s="14">
        <f t="shared" si="7"/>
        <v>420</v>
      </c>
      <c r="I18" s="13">
        <v>600</v>
      </c>
      <c r="J18" s="13"/>
      <c r="K18" s="20" t="s">
        <v>70</v>
      </c>
      <c r="L18" s="20" t="s">
        <v>101</v>
      </c>
    </row>
    <row r="19" spans="1:12" ht="38" customHeight="1" x14ac:dyDescent="1.05">
      <c r="A19" s="10"/>
      <c r="B19" s="34" t="s">
        <v>29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spans="1:12" ht="18" customHeight="1" x14ac:dyDescent="0.75">
      <c r="A20" s="1">
        <v>13</v>
      </c>
      <c r="B20" s="1" t="s">
        <v>29</v>
      </c>
      <c r="C20" s="2" t="s">
        <v>11</v>
      </c>
      <c r="D20" s="2" t="s">
        <v>115</v>
      </c>
      <c r="E20" s="3">
        <f>IF(I20&lt;&gt;"",CEILING(3*(I20/30+9),5),"")</f>
        <v>70</v>
      </c>
      <c r="F20" s="3">
        <f>IF(I20&lt;&gt;"",CEILING(5*(I20/30+6),5),"")</f>
        <v>100</v>
      </c>
      <c r="G20" s="3">
        <f>IF(I20&lt;&gt;"",CEILING(8*(I20/30+4),5),"")</f>
        <v>140</v>
      </c>
      <c r="H20" s="3">
        <f>IF(I20&lt;&gt;"",CEILING(20*(I20/30+1),5),"")</f>
        <v>290</v>
      </c>
      <c r="I20" s="2">
        <v>400</v>
      </c>
      <c r="J20" s="2"/>
      <c r="K20" s="19" t="s">
        <v>56</v>
      </c>
      <c r="L20" s="19" t="s">
        <v>85</v>
      </c>
    </row>
    <row r="21" spans="1:12" ht="38" customHeight="1" x14ac:dyDescent="1.05">
      <c r="A21" s="10"/>
      <c r="B21" s="34" t="s">
        <v>49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ht="18" customHeight="1" x14ac:dyDescent="0.75">
      <c r="A22" s="12">
        <v>14</v>
      </c>
      <c r="B22" s="12" t="s">
        <v>49</v>
      </c>
      <c r="C22" s="13" t="s">
        <v>50</v>
      </c>
      <c r="D22" s="13" t="s">
        <v>9</v>
      </c>
      <c r="E22" s="14">
        <f>IF(I22&lt;&gt;"",CEILING(3*(I22/30+9),5),"")</f>
        <v>110</v>
      </c>
      <c r="F22" s="14">
        <f>IF(I22&lt;&gt;"",CEILING(5*(I22/30+6),5),"")</f>
        <v>170</v>
      </c>
      <c r="G22" s="14">
        <f>IF(I22&lt;&gt;"",CEILING(8*(I22/30+4),5),"")</f>
        <v>255</v>
      </c>
      <c r="H22" s="14">
        <f>IF(I22&lt;&gt;"",CEILING(20*(I22/30+1),5),"")</f>
        <v>575</v>
      </c>
      <c r="I22" s="13">
        <v>830</v>
      </c>
      <c r="J22" s="13"/>
      <c r="K22" s="20" t="s">
        <v>74</v>
      </c>
      <c r="L22" s="20" t="s">
        <v>105</v>
      </c>
    </row>
    <row r="23" spans="1:12" ht="38" customHeight="1" x14ac:dyDescent="1.05">
      <c r="A23" s="10"/>
      <c r="B23" s="34" t="s">
        <v>30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ht="18" customHeight="1" x14ac:dyDescent="0.75">
      <c r="A24" s="1">
        <v>15</v>
      </c>
      <c r="B24" s="1" t="s">
        <v>30</v>
      </c>
      <c r="C24" s="2" t="s">
        <v>12</v>
      </c>
      <c r="D24" s="17" t="s">
        <v>26</v>
      </c>
      <c r="E24" s="3">
        <f>IF(I24&lt;&gt;"",CEILING(3*(I24/30+9),5),"")</f>
        <v>90</v>
      </c>
      <c r="F24" s="3">
        <f>IF(I24&lt;&gt;"",CEILING(5*(I24/30+6),5),"")</f>
        <v>130</v>
      </c>
      <c r="G24" s="3">
        <f>IF(I24&lt;&gt;"",CEILING(8*(I24/30+4),5),"")</f>
        <v>195</v>
      </c>
      <c r="H24" s="3">
        <f>IF(I24&lt;&gt;"",CEILING(20*(I24/30+1),5),"")</f>
        <v>420</v>
      </c>
      <c r="I24" s="2">
        <v>600</v>
      </c>
      <c r="J24" s="2"/>
      <c r="K24" s="19" t="s">
        <v>57</v>
      </c>
      <c r="L24" s="19" t="s">
        <v>86</v>
      </c>
    </row>
    <row r="25" spans="1:12" ht="38" customHeight="1" x14ac:dyDescent="1.05">
      <c r="A25" s="10"/>
      <c r="B25" s="34" t="s">
        <v>45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spans="1:12" ht="18" customHeight="1" x14ac:dyDescent="0.75">
      <c r="A26" s="12">
        <v>16</v>
      </c>
      <c r="B26" s="12" t="s">
        <v>45</v>
      </c>
      <c r="C26" s="13" t="s">
        <v>16</v>
      </c>
      <c r="D26" s="13" t="s">
        <v>47</v>
      </c>
      <c r="E26" s="14">
        <f>IF(I26&lt;&gt;"",CEILING(3*(I26/30+9),5),"")</f>
        <v>125</v>
      </c>
      <c r="F26" s="14">
        <f>IF(I26&lt;&gt;"",CEILING(5*(I26/30+6),5),"")</f>
        <v>190</v>
      </c>
      <c r="G26" s="14">
        <f>IF(I26&lt;&gt;"",CEILING(8*(I26/30+4),5),"")</f>
        <v>290</v>
      </c>
      <c r="H26" s="14">
        <f>IF(I26&lt;&gt;"",CEILING(20*(I26/30+1),5),"")</f>
        <v>655</v>
      </c>
      <c r="I26" s="13">
        <v>950</v>
      </c>
      <c r="J26" s="13"/>
      <c r="K26" s="20" t="s">
        <v>72</v>
      </c>
      <c r="L26" s="20" t="s">
        <v>103</v>
      </c>
    </row>
    <row r="27" spans="1:12" ht="38" customHeight="1" x14ac:dyDescent="1.05">
      <c r="A27" s="10"/>
      <c r="B27" s="34" t="s">
        <v>40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spans="1:12" ht="18" customHeight="1" x14ac:dyDescent="0.75">
      <c r="A28" s="1">
        <v>17</v>
      </c>
      <c r="B28" s="1" t="s">
        <v>40</v>
      </c>
      <c r="C28" s="2" t="s">
        <v>112</v>
      </c>
      <c r="D28" s="2" t="s">
        <v>113</v>
      </c>
      <c r="E28" s="3">
        <f>IF(I28&lt;&gt;"",CEILING(3*(I28/30+9),5),"")</f>
        <v>95</v>
      </c>
      <c r="F28" s="3">
        <f>IF(I28&lt;&gt;"",CEILING(5*(I28/30+6),5),"")</f>
        <v>140</v>
      </c>
      <c r="G28" s="3">
        <f>IF(I28&lt;&gt;"",CEILING(8*(I28/30+4),5),"")</f>
        <v>210</v>
      </c>
      <c r="H28" s="3">
        <f>IF(I28&lt;&gt;"",CEILING(20*(I28/30+1),5),"")</f>
        <v>455</v>
      </c>
      <c r="I28" s="2">
        <v>650</v>
      </c>
      <c r="J28" s="2"/>
      <c r="K28" s="19" t="s">
        <v>65</v>
      </c>
      <c r="L28" s="19" t="s">
        <v>95</v>
      </c>
    </row>
    <row r="29" spans="1:12" ht="38" customHeight="1" x14ac:dyDescent="1.05">
      <c r="A29" s="10"/>
      <c r="B29" s="34" t="s">
        <v>51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spans="1:12" ht="18" customHeight="1" x14ac:dyDescent="0.75">
      <c r="A30" s="12">
        <v>18</v>
      </c>
      <c r="B30" s="12" t="s">
        <v>51</v>
      </c>
      <c r="C30" s="13" t="s">
        <v>109</v>
      </c>
      <c r="D30" s="18" t="s">
        <v>26</v>
      </c>
      <c r="E30" s="14">
        <f>IF(I30&lt;&gt;"",CEILING(3*(I30/30+9),5),"")</f>
        <v>80</v>
      </c>
      <c r="F30" s="14">
        <f>IF(I30&lt;&gt;"",CEILING(5*(I30/30+6),5),"")</f>
        <v>120</v>
      </c>
      <c r="G30" s="14">
        <f>IF(I30&lt;&gt;"",CEILING(8*(I30/30+4),5),"")</f>
        <v>170</v>
      </c>
      <c r="H30" s="14">
        <f>IF(I30&lt;&gt;"",CEILING(20*(I30/30+1),5),"")</f>
        <v>365</v>
      </c>
      <c r="I30" s="13">
        <v>515</v>
      </c>
      <c r="J30" s="13"/>
      <c r="K30" s="20" t="s">
        <v>75</v>
      </c>
      <c r="L30" s="20" t="s">
        <v>106</v>
      </c>
    </row>
    <row r="31" spans="1:12" ht="38" customHeight="1" x14ac:dyDescent="1.05">
      <c r="A31" s="10"/>
      <c r="B31" s="34" t="s">
        <v>36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spans="1:12" ht="18" customHeight="1" x14ac:dyDescent="0.75">
      <c r="A32" s="1">
        <v>19</v>
      </c>
      <c r="B32" s="1" t="s">
        <v>36</v>
      </c>
      <c r="C32" s="2" t="s">
        <v>41</v>
      </c>
      <c r="D32" s="2" t="s">
        <v>111</v>
      </c>
      <c r="E32" s="3">
        <f>IF(I32&lt;&gt;"",CEILING(3*(I32/30+9),5),"")</f>
        <v>95</v>
      </c>
      <c r="F32" s="3">
        <f>IF(I32&lt;&gt;"",CEILING(5*(I32/30+6),5),"")</f>
        <v>140</v>
      </c>
      <c r="G32" s="3">
        <f>IF(I32&lt;&gt;"",CEILING(8*(I32/30+4),5),"")</f>
        <v>210</v>
      </c>
      <c r="H32" s="3">
        <f>IF(I32&lt;&gt;"",CEILING(20*(I32/30+1),5),"")</f>
        <v>455</v>
      </c>
      <c r="I32" s="2">
        <v>650</v>
      </c>
      <c r="J32" s="2"/>
      <c r="K32" s="19" t="s">
        <v>66</v>
      </c>
      <c r="L32" s="19" t="s">
        <v>96</v>
      </c>
    </row>
    <row r="33" spans="1:12" ht="18" customHeight="1" x14ac:dyDescent="0.75">
      <c r="A33" s="12">
        <v>20</v>
      </c>
      <c r="B33" s="12" t="s">
        <v>36</v>
      </c>
      <c r="C33" s="13" t="s">
        <v>21</v>
      </c>
      <c r="D33" s="13" t="s">
        <v>122</v>
      </c>
      <c r="E33" s="14">
        <f>IF(I33&lt;&gt;"",CEILING(3*(I33/30+9),5),"")</f>
        <v>110</v>
      </c>
      <c r="F33" s="14">
        <f>IF(I33&lt;&gt;"",CEILING(5*(I33/30+6),5),"")</f>
        <v>170</v>
      </c>
      <c r="G33" s="14">
        <f>IF(I33&lt;&gt;"",CEILING(8*(I33/30+4),5),"")</f>
        <v>255</v>
      </c>
      <c r="H33" s="14">
        <f>IF(I33&lt;&gt;"",CEILING(20*(I33/30+1),5),"")</f>
        <v>575</v>
      </c>
      <c r="I33" s="13">
        <v>830</v>
      </c>
      <c r="J33" s="13"/>
      <c r="K33" s="20" t="s">
        <v>76</v>
      </c>
      <c r="L33" s="20" t="s">
        <v>93</v>
      </c>
    </row>
    <row r="34" spans="1:12" ht="18" customHeight="1" x14ac:dyDescent="0.75">
      <c r="A34" s="1">
        <v>21</v>
      </c>
      <c r="B34" s="1" t="s">
        <v>36</v>
      </c>
      <c r="C34" s="2" t="s">
        <v>22</v>
      </c>
      <c r="D34" s="2" t="s">
        <v>37</v>
      </c>
      <c r="E34" s="3">
        <f>IF(I34&lt;&gt;"",CEILING(3*(I34/30+9),5),"")</f>
        <v>120</v>
      </c>
      <c r="F34" s="3">
        <f>IF(I34&lt;&gt;"",CEILING(5*(I34/30+6),5),"")</f>
        <v>180</v>
      </c>
      <c r="G34" s="3">
        <f>IF(I34&lt;&gt;"",CEILING(8*(I34/30+4),5),"")</f>
        <v>275</v>
      </c>
      <c r="H34" s="3">
        <f>IF(I34&lt;&gt;"",CEILING(20*(I34/30+1),5),"")</f>
        <v>620</v>
      </c>
      <c r="I34" s="2">
        <v>900</v>
      </c>
      <c r="J34" s="2"/>
      <c r="K34" s="19" t="s">
        <v>64</v>
      </c>
      <c r="L34" s="19" t="s">
        <v>94</v>
      </c>
    </row>
    <row r="35" spans="1:12" ht="38" customHeight="1" x14ac:dyDescent="1.05">
      <c r="A35" s="10"/>
      <c r="B35" s="34" t="s">
        <v>38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spans="1:12" ht="38" customHeight="1" x14ac:dyDescent="1.05">
      <c r="A36" s="10"/>
      <c r="B36" s="34" t="s">
        <v>31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spans="1:12" ht="18" customHeight="1" x14ac:dyDescent="0.75">
      <c r="A37" s="12">
        <v>22</v>
      </c>
      <c r="B37" s="12" t="s">
        <v>31</v>
      </c>
      <c r="C37" s="13" t="s">
        <v>32</v>
      </c>
      <c r="D37" s="18" t="s">
        <v>26</v>
      </c>
      <c r="E37" s="14">
        <f>IF(I37&lt;&gt;"",CEILING(3*(I37/30+9),5),"")</f>
        <v>230</v>
      </c>
      <c r="F37" s="14">
        <f>IF(I37&lt;&gt;"",CEILING(5*(I37/30+6),5),"")</f>
        <v>365</v>
      </c>
      <c r="G37" s="14">
        <f>IF(I37&lt;&gt;"",CEILING(8*(I37/30+4),5),"")</f>
        <v>570</v>
      </c>
      <c r="H37" s="14">
        <f>IF(I37&lt;&gt;"",CEILING(20*(I37/30+1),5),"")</f>
        <v>1355</v>
      </c>
      <c r="I37" s="13">
        <v>2000</v>
      </c>
      <c r="J37" s="13"/>
      <c r="K37" s="20" t="s">
        <v>58</v>
      </c>
      <c r="L37" s="20" t="s">
        <v>87</v>
      </c>
    </row>
    <row r="38" spans="1:12" ht="45" customHeight="1" x14ac:dyDescent="1.05">
      <c r="A38" s="10"/>
      <c r="B38" s="36" t="s">
        <v>124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spans="1:12" ht="20" customHeight="1" x14ac:dyDescent="0.75">
      <c r="A39" s="1">
        <v>23</v>
      </c>
      <c r="B39" s="1" t="s">
        <v>124</v>
      </c>
      <c r="C39" s="2" t="s">
        <v>23</v>
      </c>
      <c r="D39" s="2" t="s">
        <v>39</v>
      </c>
      <c r="E39" s="3">
        <f>IF(I39&lt;&gt;"",CEILING(3*(I39/30+9),5),"")</f>
        <v>80</v>
      </c>
      <c r="F39" s="3">
        <f>IF(I39&lt;&gt;"",CEILING(5*(I39/30+6),5),"")</f>
        <v>115</v>
      </c>
      <c r="G39" s="3">
        <f>IF(I39&lt;&gt;"",CEILING(8*(I39/30+4),5),"")</f>
        <v>170</v>
      </c>
      <c r="H39" s="3">
        <f>IF(I39&lt;&gt;"",CEILING(20*(I39/30+1),5),"")</f>
        <v>355</v>
      </c>
      <c r="I39" s="4">
        <v>500</v>
      </c>
      <c r="J39" s="2"/>
      <c r="K39" s="19" t="s">
        <v>125</v>
      </c>
      <c r="L39" s="19" t="s">
        <v>126</v>
      </c>
    </row>
    <row r="40" spans="1:12" ht="45" customHeight="1" x14ac:dyDescent="0.75">
      <c r="A40" s="11"/>
      <c r="B40" s="37" t="s">
        <v>35</v>
      </c>
      <c r="C40" s="36"/>
      <c r="D40" s="36"/>
      <c r="E40" s="36"/>
      <c r="F40" s="36"/>
      <c r="G40" s="36"/>
      <c r="H40" s="36"/>
      <c r="I40" s="36"/>
      <c r="J40" s="36"/>
      <c r="K40" s="36"/>
      <c r="L40" s="38"/>
    </row>
    <row r="41" spans="1:12" ht="20" customHeight="1" x14ac:dyDescent="0.75">
      <c r="A41" s="15">
        <v>24</v>
      </c>
      <c r="B41" s="16" t="s">
        <v>35</v>
      </c>
      <c r="C41" s="25" t="s">
        <v>127</v>
      </c>
      <c r="D41" s="26" t="s">
        <v>26</v>
      </c>
      <c r="E41" s="23">
        <f>IF(I41&lt;&gt;"",CEILING(3*(I41/30+9),5),"")</f>
        <v>80</v>
      </c>
      <c r="F41" s="23">
        <f>IF(I41&lt;&gt;"",CEILING(5*(I41/30+6),5),"")</f>
        <v>115</v>
      </c>
      <c r="G41" s="23">
        <f>IF(I41&lt;&gt;"",CEILING(8*(I41/30+4),5),"")</f>
        <v>170</v>
      </c>
      <c r="H41" s="23">
        <f>IF(I41&lt;&gt;"",CEILING(20*(I41/30+1),5),"")</f>
        <v>355</v>
      </c>
      <c r="I41" s="29">
        <v>500</v>
      </c>
      <c r="J41" s="16"/>
      <c r="K41" s="21" t="s">
        <v>128</v>
      </c>
      <c r="L41" s="21" t="s">
        <v>129</v>
      </c>
    </row>
    <row r="42" spans="1:12" ht="20" customHeight="1" x14ac:dyDescent="0.75">
      <c r="A42" s="6">
        <v>25</v>
      </c>
      <c r="B42" s="7" t="s">
        <v>35</v>
      </c>
      <c r="C42" s="27" t="s">
        <v>130</v>
      </c>
      <c r="D42" s="28" t="s">
        <v>26</v>
      </c>
      <c r="E42" s="24">
        <f>IF(I42&lt;&gt;"",CEILING(3*(I42/30+9),5),"")</f>
        <v>120</v>
      </c>
      <c r="F42" s="24">
        <f>IF(I42&lt;&gt;"",CEILING(5*(I42/30+6),5),"")</f>
        <v>180</v>
      </c>
      <c r="G42" s="24">
        <f>IF(I42&lt;&gt;"",CEILING(8*(I42/30+4),5),"")</f>
        <v>275</v>
      </c>
      <c r="H42" s="24">
        <f>IF(I42&lt;&gt;"",CEILING(20*(I42/30+1),5),"")</f>
        <v>620</v>
      </c>
      <c r="I42" s="30">
        <v>900</v>
      </c>
      <c r="J42" s="7"/>
      <c r="K42" s="22" t="s">
        <v>131</v>
      </c>
      <c r="L42" s="22" t="s">
        <v>132</v>
      </c>
    </row>
    <row r="43" spans="1:12" ht="45" customHeight="1" x14ac:dyDescent="1.05">
      <c r="A43" s="10"/>
      <c r="B43" s="36" t="s">
        <v>27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4" spans="1:12" ht="18" customHeight="1" x14ac:dyDescent="0.75">
      <c r="A44" s="12">
        <v>26</v>
      </c>
      <c r="B44" s="12" t="s">
        <v>27</v>
      </c>
      <c r="C44" s="13" t="s">
        <v>34</v>
      </c>
      <c r="D44" s="13" t="s">
        <v>80</v>
      </c>
      <c r="E44" s="14">
        <f>IF(I44&lt;&gt;"",CEILING(3*(I44/30+9),5),"")</f>
        <v>105</v>
      </c>
      <c r="F44" s="14">
        <f>IF(I44&lt;&gt;"",CEILING(5*(I44/30+6),5),"")</f>
        <v>155</v>
      </c>
      <c r="G44" s="14">
        <f>IF(I44&lt;&gt;"",CEILING(8*(I44/30+4),5),"")</f>
        <v>230</v>
      </c>
      <c r="H44" s="14">
        <f>IF(I44&lt;&gt;"",CEILING(20*(I44/30+1),5),"")</f>
        <v>515</v>
      </c>
      <c r="I44" s="13">
        <v>740</v>
      </c>
      <c r="J44" s="13"/>
      <c r="K44" s="20" t="s">
        <v>62</v>
      </c>
      <c r="L44" s="20" t="s">
        <v>91</v>
      </c>
    </row>
    <row r="45" spans="1:12" ht="18" customHeight="1" x14ac:dyDescent="0.75">
      <c r="A45" s="1">
        <v>27</v>
      </c>
      <c r="B45" s="1" t="s">
        <v>27</v>
      </c>
      <c r="C45" s="2" t="s">
        <v>28</v>
      </c>
      <c r="D45" s="2" t="s">
        <v>123</v>
      </c>
      <c r="E45" s="3">
        <f>IF(I45&lt;&gt;"",CEILING(3*(I45/30+9),5),"")</f>
        <v>105</v>
      </c>
      <c r="F45" s="3">
        <f>IF(I45&lt;&gt;"",CEILING(5*(I45/30+6),5),"")</f>
        <v>155</v>
      </c>
      <c r="G45" s="3">
        <f>IF(I45&lt;&gt;"",CEILING(8*(I45/30+4),5),"")</f>
        <v>230</v>
      </c>
      <c r="H45" s="3">
        <f>IF(I45&lt;&gt;"",CEILING(20*(I45/30+1),5),"")</f>
        <v>515</v>
      </c>
      <c r="I45" s="2">
        <v>740</v>
      </c>
      <c r="J45" s="2"/>
      <c r="K45" s="19" t="s">
        <v>55</v>
      </c>
      <c r="L45" s="19" t="s">
        <v>84</v>
      </c>
    </row>
    <row r="46" spans="1:12" ht="18" customHeight="1" x14ac:dyDescent="0.75">
      <c r="A46" s="12">
        <v>28</v>
      </c>
      <c r="B46" s="12" t="s">
        <v>27</v>
      </c>
      <c r="C46" s="13" t="s">
        <v>20</v>
      </c>
      <c r="D46" s="13" t="s">
        <v>79</v>
      </c>
      <c r="E46" s="14">
        <f>IF(I46&lt;&gt;"",CEILING(3*(I46/30+9),5),"")</f>
        <v>105</v>
      </c>
      <c r="F46" s="14">
        <f>IF(I46&lt;&gt;"",CEILING(5*(I46/30+6),5),"")</f>
        <v>155</v>
      </c>
      <c r="G46" s="14">
        <f>IF(I46&lt;&gt;"",CEILING(8*(I46/30+4),5),"")</f>
        <v>230</v>
      </c>
      <c r="H46" s="14">
        <f>IF(I46&lt;&gt;"",CEILING(20*(I46/30+1),5),"")</f>
        <v>515</v>
      </c>
      <c r="I46" s="13">
        <v>740</v>
      </c>
      <c r="J46" s="13"/>
      <c r="K46" s="20" t="s">
        <v>61</v>
      </c>
      <c r="L46" s="20" t="s">
        <v>90</v>
      </c>
    </row>
  </sheetData>
  <mergeCells count="16">
    <mergeCell ref="B43:L43"/>
    <mergeCell ref="B29:L29"/>
    <mergeCell ref="B31:L31"/>
    <mergeCell ref="B35:L35"/>
    <mergeCell ref="B36:L36"/>
    <mergeCell ref="B38:L38"/>
    <mergeCell ref="B40:L40"/>
    <mergeCell ref="A2:L3"/>
    <mergeCell ref="A1:M1"/>
    <mergeCell ref="B23:L23"/>
    <mergeCell ref="B25:L25"/>
    <mergeCell ref="B27:L27"/>
    <mergeCell ref="B5:L5"/>
    <mergeCell ref="B12:L12"/>
    <mergeCell ref="B19:L19"/>
    <mergeCell ref="B21:L21"/>
  </mergeCells>
  <hyperlinks>
    <hyperlink ref="K6" r:id="rId1" xr:uid="{5FDC994B-6278-432F-8FC7-867C50F85682}"/>
    <hyperlink ref="L6" r:id="rId2" xr:uid="{97460D6E-8926-48EE-8DE2-D54E5FC4D0DA}"/>
    <hyperlink ref="K7" r:id="rId3" xr:uid="{F91A0F21-B82B-4AE8-9AC6-0C842D9FFB12}"/>
    <hyperlink ref="L7" r:id="rId4" xr:uid="{52FDACA1-4CE6-4EFC-9611-A5EA93512253}"/>
    <hyperlink ref="K8" r:id="rId5" xr:uid="{70E7BDA8-72B1-4E5C-8296-90AB656CED69}"/>
    <hyperlink ref="L8" r:id="rId6" xr:uid="{EA43ED8C-6E57-44C2-A056-11ABE581DA45}"/>
    <hyperlink ref="K9" r:id="rId7" xr:uid="{17C24D01-B7E9-47FD-9638-C5A877417EBD}"/>
    <hyperlink ref="L9" r:id="rId8" xr:uid="{9FB12BD0-8609-4FCD-8AF6-238B0E720F33}"/>
    <hyperlink ref="K10" r:id="rId9" xr:uid="{61C20638-4A62-4443-BFDC-34D1CDF0C424}"/>
    <hyperlink ref="L10" r:id="rId10" xr:uid="{A62086F4-8D83-4BF3-8A68-FC042F0A986F}"/>
    <hyperlink ref="K11" r:id="rId11" xr:uid="{4EA6175D-8018-4621-A427-ED318D4B975F}"/>
    <hyperlink ref="L11" r:id="rId12" xr:uid="{4C2AC327-6D34-4FB9-AB39-026502386626}"/>
    <hyperlink ref="K13" r:id="rId13" xr:uid="{1145EDF5-AA1C-458C-8AB4-37F01258AF9C}"/>
    <hyperlink ref="K14" r:id="rId14" xr:uid="{ABA0076B-D6DD-4B91-A469-446AB8B71139}"/>
    <hyperlink ref="L14" r:id="rId15" xr:uid="{4F045315-2B54-43D2-A953-A5A6CED96C2F}"/>
    <hyperlink ref="K15" r:id="rId16" xr:uid="{053D18EC-B02F-48D0-86C6-B7A2113846FB}"/>
    <hyperlink ref="L15" r:id="rId17" xr:uid="{D8999A6F-198C-4D4C-A5DF-79368E03D775}"/>
    <hyperlink ref="K16" r:id="rId18" xr:uid="{4EB4B605-F0B6-48F0-9F06-0FB90C7A52F1}"/>
    <hyperlink ref="L16" r:id="rId19" xr:uid="{D36B855A-4A80-455B-ADC2-E7778EB07DFA}"/>
    <hyperlink ref="K17" r:id="rId20" xr:uid="{8F4D0F49-BBD5-455D-9FAF-9807C058C8B5}"/>
    <hyperlink ref="L17" r:id="rId21" xr:uid="{B0047258-2C5A-450D-B9EF-CF5FFC5EF834}"/>
    <hyperlink ref="K18" r:id="rId22" xr:uid="{E64CEEC2-57B7-4C7E-9132-8BB18376D904}"/>
    <hyperlink ref="L18" r:id="rId23" xr:uid="{8D802DF7-81D1-4616-98A3-20B18FF6B8B2}"/>
    <hyperlink ref="K20" r:id="rId24" xr:uid="{F5642382-D54E-4725-B323-E1AC0FB88EA3}"/>
    <hyperlink ref="L20" r:id="rId25" xr:uid="{DA23643F-F663-4F3A-9EB8-9FAB2A5CD482}"/>
    <hyperlink ref="K22" r:id="rId26" xr:uid="{258B3BB0-11CF-43CD-B75C-CFE950CC1429}"/>
    <hyperlink ref="L22" r:id="rId27" xr:uid="{FCD35537-C8C2-4536-92F4-AEF229BE646F}"/>
    <hyperlink ref="K24" r:id="rId28" xr:uid="{2E7093B7-23A6-43F3-A784-8CE9BCDB1F7E}"/>
    <hyperlink ref="L24" r:id="rId29" xr:uid="{1D0A7BF8-52D3-49EC-A400-63260171B96E}"/>
    <hyperlink ref="K26" r:id="rId30" xr:uid="{30469C36-0DF7-4B40-930E-04CE6D214E73}"/>
    <hyperlink ref="L26" r:id="rId31" xr:uid="{EC29FBFF-65A9-4B52-8623-0AA4A45AE7A3}"/>
    <hyperlink ref="K28" r:id="rId32" xr:uid="{0A98E1D3-B70C-4FE8-AE4C-5D867153652D}"/>
    <hyperlink ref="L28" r:id="rId33" xr:uid="{EA4CCF91-75FC-4FEF-A17C-80A778BA9437}"/>
    <hyperlink ref="K30" r:id="rId34" xr:uid="{86E058BF-EC8B-4904-9C08-5C717B651086}"/>
    <hyperlink ref="L30" r:id="rId35" xr:uid="{2902F204-5989-4E1E-85C3-9EAD8427CD45}"/>
    <hyperlink ref="K32" r:id="rId36" xr:uid="{051E4064-C5C1-4CD2-84A9-B593BDC2900A}"/>
    <hyperlink ref="L32" r:id="rId37" xr:uid="{8F14F93F-B813-462F-B6BF-624EBB4A3606}"/>
    <hyperlink ref="K33" r:id="rId38" xr:uid="{B8E45314-84A0-4DD5-8C41-9C20B313EC01}"/>
    <hyperlink ref="L33" r:id="rId39" xr:uid="{5AFCD0C2-AD61-40B1-BB64-A353E90BE332}"/>
    <hyperlink ref="K34" r:id="rId40" xr:uid="{E74E8260-5793-46B6-A351-BBCCD28145F2}"/>
    <hyperlink ref="L34" r:id="rId41" xr:uid="{A372EFAF-67DE-4FA0-A1EE-7540DF988EF1}"/>
    <hyperlink ref="K37" r:id="rId42" xr:uid="{F7430CB2-C8AB-4854-815A-08B5D7ED268E}"/>
    <hyperlink ref="L37" r:id="rId43" xr:uid="{E9124A9C-A6E2-4B41-9D48-B27E2518B664}"/>
    <hyperlink ref="K39" r:id="rId44" display="https://www.fragrantica.com/perfume/Rasasi/Daarej-pour-Homme-19688.html" xr:uid="{201EB486-988B-4FA9-8534-A309E4DBBF85}"/>
    <hyperlink ref="L39" r:id="rId45" display="https://www.parfumo.com/Perfumes/Rasasi/daarej-pour-homme" xr:uid="{42E951FB-42C1-4D6E-8636-7C3D9E965458}"/>
    <hyperlink ref="K44" r:id="rId46" xr:uid="{EA880089-6366-40CD-9FFD-794A3BEA07E7}"/>
    <hyperlink ref="L44" r:id="rId47" xr:uid="{67E29E4C-9792-4A10-8FF3-58B3177F999D}"/>
    <hyperlink ref="K45" r:id="rId48" xr:uid="{97155C18-315C-4868-AFAE-82E30E52E181}"/>
    <hyperlink ref="L45" r:id="rId49" xr:uid="{2C375FC9-D99A-456D-984F-B33721A28FC2}"/>
    <hyperlink ref="K46" r:id="rId50" xr:uid="{968021B1-B776-4380-8E5A-9840542D82FD}"/>
    <hyperlink ref="L46" r:id="rId51" xr:uid="{1A7A9B3C-A341-4C1C-B39E-AEF8A2B10CC2}"/>
  </hyperlinks>
  <pageMargins left="0.7" right="0.7" top="0.75" bottom="0.75" header="0.3" footer="0.3"/>
  <pageSetup paperSize="0" orientation="portrait" horizontalDpi="0" verticalDpi="0" copies="0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Fateh</dc:creator>
  <cp:lastModifiedBy>Fateh</cp:lastModifiedBy>
  <dcterms:created xsi:type="dcterms:W3CDTF">2026-06-26T18:59:09Z</dcterms:created>
  <dcterms:modified xsi:type="dcterms:W3CDTF">2026-06-26T22:58:43Z</dcterms:modified>
</cp:coreProperties>
</file>