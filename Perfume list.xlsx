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525" yWindow="0" windowWidth="9750" windowHeight="101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color rgb="FF000000"/>
      <sz val="11"/>
    </font>
    <font>
      <name val="Segoe UI"/>
      <family val="2"/>
      <color rgb="FF000000"/>
      <sz val="11"/>
      <u val="single"/>
    </font>
    <font>
      <name val="Segoe UI"/>
      <family val="2"/>
      <b val="1"/>
      <color rgb="FF3D2C5E"/>
      <sz val="11"/>
    </font>
    <font>
      <name val="Segoe UI"/>
      <family val="2"/>
      <b val="1"/>
      <color rgb="FF3D2C5E"/>
      <sz val="14"/>
    </font>
    <font>
      <name val="Segoe UI"/>
      <family val="2"/>
      <b val="1"/>
      <color rgb="FF7BC47E"/>
      <sz val="11"/>
    </font>
    <font>
      <name val="Segoe UI"/>
      <family val="2"/>
      <color rgb="FF6B8DBF"/>
      <sz val="11"/>
      <u val="single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4C5E2"/>
        <bgColor indexed="64"/>
      </patternFill>
    </fill>
    <fill>
      <patternFill patternType="solid">
        <fgColor rgb="FFF5F0F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22"/>
      </right>
      <top style="hair">
        <color indexed="22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63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4" fontId="2" fillId="2" borderId="2" applyAlignment="1" pivotButton="0" quotePrefix="0" xfId="0">
      <alignment horizontal="right" vertical="center"/>
    </xf>
    <xf numFmtId="4" fontId="2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4" fontId="2" fillId="4" borderId="2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2" fillId="4" borderId="4" applyAlignment="1" pivotButton="0" quotePrefix="0" xfId="0">
      <alignment horizontal="left" vertical="top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2" borderId="2" applyAlignment="1" pivotButton="0" quotePrefix="0" xfId="1">
      <alignment horizontal="center" vertical="center"/>
    </xf>
    <xf numFmtId="0" fontId="7" fillId="4" borderId="2" applyAlignment="1" pivotButton="0" quotePrefix="0" xfId="1">
      <alignment horizontal="center" vertical="center"/>
    </xf>
    <xf numFmtId="0" fontId="7" fillId="4" borderId="4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4" fontId="2" fillId="4" borderId="4" applyAlignment="1" pivotButton="0" quotePrefix="0" xfId="0">
      <alignment horizontal="right" vertical="top"/>
    </xf>
    <xf numFmtId="4" fontId="2" fillId="2" borderId="4" applyAlignment="1" pivotButton="0" quotePrefix="0" xfId="0">
      <alignment horizontal="right" vertical="top"/>
    </xf>
    <xf numFmtId="0" fontId="2" fillId="4" borderId="4" applyAlignment="1" pivotButton="0" quotePrefix="0" xfId="0">
      <alignment horizontal="center" vertical="top"/>
    </xf>
    <xf numFmtId="0" fontId="6" fillId="4" borderId="4" applyAlignment="1" pivotButton="0" quotePrefix="0" xfId="0">
      <alignment horizontal="center" vertical="top"/>
    </xf>
    <xf numFmtId="0" fontId="2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/>
    </xf>
    <xf numFmtId="4" fontId="2" fillId="4" borderId="4" applyAlignment="1" pivotButton="0" quotePrefix="0" xfId="0">
      <alignment horizontal="center" vertical="top"/>
    </xf>
    <xf numFmtId="4" fontId="2" fillId="2" borderId="4" applyAlignment="1" pivotButton="0" quotePrefix="0" xfId="0">
      <alignment horizontal="center" vertical="top"/>
    </xf>
    <xf numFmtId="0" fontId="2" fillId="2" borderId="4" applyAlignment="1" pivotButton="0" quotePrefix="0" xfId="0">
      <alignment horizontal="left" vertical="center"/>
    </xf>
    <xf numFmtId="0" fontId="2" fillId="2" borderId="4" applyAlignment="1" pivotButton="0" quotePrefix="0" xfId="0">
      <alignment horizontal="center" vertical="center"/>
    </xf>
    <xf numFmtId="4" fontId="2" fillId="2" borderId="4" applyAlignment="1" pivotButton="0" quotePrefix="0" xfId="0">
      <alignment horizontal="right" vertical="center"/>
    </xf>
    <xf numFmtId="0" fontId="7" fillId="2" borderId="4" applyAlignment="1" pivotButton="0" quotePrefix="0" xfId="1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4" fontId="2" fillId="4" borderId="4" applyAlignment="1" pivotButton="0" quotePrefix="0" xfId="0">
      <alignment horizontal="right" vertical="center"/>
    </xf>
    <xf numFmtId="0" fontId="7" fillId="4" borderId="4" applyAlignment="1" pivotButton="0" quotePrefix="0" xfId="1">
      <alignment horizontal="center" vertical="center"/>
    </xf>
    <xf numFmtId="0" fontId="1" fillId="4" borderId="4" applyAlignment="1" pivotButton="0" quotePrefix="0" xfId="1">
      <alignment horizontal="center" vertical="center"/>
    </xf>
    <xf numFmtId="0" fontId="5" fillId="3" borderId="2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5" fillId="3" borderId="4" applyAlignment="1" pivotButton="0" quotePrefix="0" xfId="0">
      <alignment horizontal="left" vertical="top"/>
    </xf>
    <xf numFmtId="0" fontId="5" fillId="3" borderId="4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5" borderId="6" pivotButton="0" quotePrefix="0" xfId="0"/>
    <xf numFmtId="0" fontId="0" fillId="0" borderId="6" pivotButton="0" quotePrefix="0" xfId="0"/>
    <xf numFmtId="0" fontId="5" fillId="3" borderId="3" applyAlignment="1" pivotButton="0" quotePrefix="0" xfId="0">
      <alignment horizontal="left" vertical="center"/>
    </xf>
    <xf numFmtId="0" fontId="0" fillId="0" borderId="3" pivotButton="0" quotePrefix="0" xfId="0"/>
    <xf numFmtId="0" fontId="9" fillId="6" borderId="10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left" vertical="center" wrapText="1"/>
    </xf>
    <xf numFmtId="0" fontId="8" fillId="2" borderId="10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left" vertical="center" wrapText="1"/>
    </xf>
    <xf numFmtId="4" fontId="8" fillId="2" borderId="10" applyAlignment="1" pivotButton="0" quotePrefix="0" xfId="0">
      <alignment horizontal="center" vertical="center" wrapText="1"/>
    </xf>
    <xf numFmtId="0" fontId="8" fillId="2" borderId="10" applyAlignment="1" pivotButton="0" quotePrefix="0" xfId="1">
      <alignment horizontal="left" vertical="center" wrapText="1"/>
    </xf>
    <xf numFmtId="0" fontId="8" fillId="4" borderId="10" applyAlignment="1" pivotButton="0" quotePrefix="0" xfId="0">
      <alignment horizontal="center" vertical="center" wrapText="1"/>
    </xf>
    <xf numFmtId="0" fontId="8" fillId="4" borderId="10" applyAlignment="1" pivotButton="0" quotePrefix="0" xfId="0">
      <alignment horizontal="left" vertical="center" wrapText="1"/>
    </xf>
    <xf numFmtId="4" fontId="8" fillId="4" borderId="10" applyAlignment="1" pivotButton="0" quotePrefix="0" xfId="0">
      <alignment horizontal="center" vertical="center" wrapText="1"/>
    </xf>
    <xf numFmtId="0" fontId="8" fillId="4" borderId="10" applyAlignment="1" pivotButton="0" quotePrefix="0" xfId="1">
      <alignment horizontal="left" vertical="center" wrapText="1"/>
    </xf>
    <xf numFmtId="0" fontId="8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jpe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jpeg" Id="rId18" /><Relationship Type="http://schemas.openxmlformats.org/officeDocument/2006/relationships/image" Target="/xl/media/image19.png" Id="rId1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38100</colOff>
      <row>52</row>
      <rowOff>25400</rowOff>
    </from>
    <to>
      <col>0</col>
      <colOff>544739</colOff>
      <row>52</row>
      <rowOff>457200</rowOff>
    </to>
    <pic>
      <nvPicPr>
        <cNvPr id="4" name="Picture 3"/>
        <cNvPicPr>
          <a:picLocks/>
        </cNvPicPr>
      </nvPicPr>
      <blipFill>
        <a:blip r:embed="rId5"/>
        <a:stretch>
          <a:fillRect/>
        </a:stretch>
      </blipFill>
      <spPr>
        <a:xfrm>
          <a:off x="38100" y="121602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28</row>
      <rowOff>25400</rowOff>
    </from>
    <to>
      <col>0</col>
      <colOff>544739</colOff>
      <row>28</row>
      <rowOff>457200</rowOff>
    </to>
    <pic>
      <nvPicPr>
        <cNvPr id="7" name="Picture 6"/>
        <cNvPicPr>
          <a:picLocks/>
        </cNvPicPr>
      </nvPicPr>
      <blipFill>
        <a:blip cstate="print" r:embed="rId6"/>
        <a:stretch>
          <a:fillRect/>
        </a:stretch>
      </blipFill>
      <spPr>
        <a:xfrm>
          <a:off x="38100" y="72072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25</row>
      <rowOff>25400</rowOff>
    </from>
    <to>
      <col>0</col>
      <colOff>544739</colOff>
      <row>25</row>
      <rowOff>457200</rowOff>
    </to>
    <pic>
      <nvPicPr>
        <cNvPr id="10" name="Picture 9"/>
        <cNvPicPr>
          <a:picLocks/>
        </cNvPicPr>
      </nvPicPr>
      <blipFill>
        <a:blip r:embed="rId7"/>
        <a:stretch>
          <a:fillRect/>
        </a:stretch>
      </blipFill>
      <spPr>
        <a:xfrm>
          <a:off x="38100" y="64960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19</row>
      <rowOff>25400</rowOff>
    </from>
    <to>
      <col>0</col>
      <colOff>544739</colOff>
      <row>19</row>
      <rowOff>457200</rowOff>
    </to>
    <pic>
      <nvPicPr>
        <cNvPr id="13" name="Picture 12"/>
        <cNvPicPr>
          <a:picLocks/>
        </cNvPicPr>
      </nvPicPr>
      <blipFill>
        <a:blip cstate="print" r:embed="rId8"/>
        <a:stretch>
          <a:fillRect/>
        </a:stretch>
      </blipFill>
      <spPr>
        <a:xfrm>
          <a:off x="38100" y="43624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4</row>
      <rowOff>25400</rowOff>
    </from>
    <to>
      <col>0</col>
      <colOff>544739</colOff>
      <row>4</row>
      <rowOff>457200</rowOff>
    </to>
    <pic>
      <nvPicPr>
        <cNvPr id="16" name="Picture 15"/>
        <cNvPicPr>
          <a:picLocks/>
        </cNvPicPr>
      </nvPicPr>
      <blipFill>
        <a:blip r:embed="rId9"/>
        <a:stretch>
          <a:fillRect/>
        </a:stretch>
      </blipFill>
      <spPr>
        <a:xfrm>
          <a:off x="38100" y="6540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21</row>
      <rowOff>25400</rowOff>
    </from>
    <to>
      <col>0</col>
      <colOff>544739</colOff>
      <row>21</row>
      <rowOff>457200</rowOff>
    </to>
    <pic>
      <nvPicPr>
        <cNvPr id="19" name="Picture 18"/>
        <cNvPicPr>
          <a:picLocks/>
        </cNvPicPr>
      </nvPicPr>
      <blipFill>
        <a:blip cstate="print" r:embed="rId10"/>
        <a:stretch>
          <a:fillRect/>
        </a:stretch>
      </blipFill>
      <spPr>
        <a:xfrm>
          <a:off x="38100" y="50736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12</row>
      <rowOff>25400</rowOff>
    </from>
    <to>
      <col>0</col>
      <colOff>544739</colOff>
      <row>12</row>
      <rowOff>457200</rowOff>
    </to>
    <pic>
      <nvPicPr>
        <cNvPr id="22" name="Picture 21"/>
        <cNvPicPr>
          <a:picLocks/>
        </cNvPicPr>
      </nvPicPr>
      <blipFill>
        <a:blip r:embed="rId11"/>
        <a:stretch>
          <a:fillRect/>
        </a:stretch>
      </blipFill>
      <spPr>
        <a:xfrm>
          <a:off x="38100" y="25082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46</row>
      <rowOff>25400</rowOff>
    </from>
    <to>
      <col>0</col>
      <colOff>544739</colOff>
      <row>46</row>
      <rowOff>457200</rowOff>
    </to>
    <pic>
      <nvPicPr>
        <cNvPr id="25" name="Picture 24"/>
        <cNvPicPr>
          <a:picLocks/>
        </cNvPicPr>
      </nvPicPr>
      <blipFill>
        <a:blip r:embed="rId12"/>
        <a:stretch>
          <a:fillRect/>
        </a:stretch>
      </blipFill>
      <spPr>
        <a:xfrm>
          <a:off x="38100" y="112204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44</row>
      <rowOff>25400</rowOff>
    </from>
    <to>
      <col>0</col>
      <colOff>544739</colOff>
      <row>44</row>
      <rowOff>457200</rowOff>
    </to>
    <pic>
      <nvPicPr>
        <cNvPr id="29" name="Picture 28"/>
        <cNvPicPr>
          <a:picLocks/>
        </cNvPicPr>
      </nvPicPr>
      <blipFill>
        <a:blip r:embed="rId13"/>
        <a:stretch>
          <a:fillRect/>
        </a:stretch>
      </blipFill>
      <spPr>
        <a:xfrm>
          <a:off x="38100" y="105092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23</row>
      <rowOff>25400</rowOff>
    </from>
    <to>
      <col>0</col>
      <colOff>544739</colOff>
      <row>23</row>
      <rowOff>457200</rowOff>
    </to>
    <pic>
      <nvPicPr>
        <cNvPr id="32" name="Picture 31"/>
        <cNvPicPr>
          <a:picLocks/>
        </cNvPicPr>
      </nvPicPr>
      <blipFill>
        <a:blip r:embed="rId14"/>
        <a:stretch>
          <a:fillRect/>
        </a:stretch>
      </blipFill>
      <spPr>
        <a:xfrm>
          <a:off x="38100" y="57848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35</row>
      <rowOff>25400</rowOff>
    </from>
    <to>
      <col>0</col>
      <colOff>544739</colOff>
      <row>35</row>
      <rowOff>457200</rowOff>
    </to>
    <pic>
      <nvPicPr>
        <cNvPr id="34" name="Picture 33"/>
        <cNvPicPr>
          <a:picLocks/>
        </cNvPicPr>
      </nvPicPr>
      <blipFill>
        <a:blip r:embed="rId15"/>
        <a:stretch>
          <a:fillRect/>
        </a:stretch>
      </blipFill>
      <spPr>
        <a:xfrm>
          <a:off x="38100" y="79184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43</row>
      <rowOff>25400</rowOff>
    </from>
    <to>
      <col>0</col>
      <colOff>544739</colOff>
      <row>43</row>
      <rowOff>457200</rowOff>
    </to>
    <pic>
      <nvPicPr>
        <cNvPr id="37" name="Picture 36"/>
        <cNvPicPr>
          <a:picLocks/>
        </cNvPicPr>
      </nvPicPr>
      <blipFill>
        <a:blip cstate="print" r:embed="rId16"/>
        <a:stretch>
          <a:fillRect/>
        </a:stretch>
      </blipFill>
      <spPr>
        <a:xfrm>
          <a:off x="38100" y="97980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38100</colOff>
      <row>37</row>
      <rowOff>25400</rowOff>
    </from>
    <to>
      <col>0</col>
      <colOff>544739</colOff>
      <row>37</row>
      <rowOff>457200</rowOff>
    </to>
    <pic>
      <nvPicPr>
        <cNvPr id="40" name="Picture 39"/>
        <cNvPicPr>
          <a:picLocks/>
        </cNvPicPr>
      </nvPicPr>
      <blipFill>
        <a:blip cstate="print" r:embed="rId17"/>
        <a:stretch>
          <a:fillRect/>
        </a:stretch>
      </blipFill>
      <spPr>
        <a:xfrm>
          <a:off x="38100" y="8629650"/>
          <a:ext cx="508000" cy="431800"/>
        </a:xfrm>
        <a:prstGeom prst="rect">
          <avLst/>
        </a:prstGeom>
        <a:ln>
          <a:prstDash val="solid"/>
        </a:ln>
      </spPr>
    </pic>
    <clientData/>
  </twoCellAnchor>
  <twoCellAnchor>
    <from>
      <col>0</col>
      <colOff>38100</colOff>
      <row>46</row>
      <rowOff>63500</rowOff>
    </from>
    <to>
      <col>0</col>
      <colOff>546100</colOff>
      <row>46</row>
      <rowOff>563117</rowOff>
    </to>
    <pic>
      <nvPicPr>
        <cNvPr id="5" name="Pendora Scents"/>
        <cNvPicPr>
          <a:picLocks noChangeAspect="1"/>
        </cNvPicPr>
      </nvPicPr>
      <blipFill>
        <a:blip cstate="print" r:embed="rId18"/>
        <a:stretch>
          <a:fillRect/>
        </a:stretch>
      </blipFill>
      <spPr>
        <a:xfrm>
          <a:off x="38100" y="11029950"/>
          <a:ext cx="508000" cy="499617"/>
        </a:xfrm>
        <a:prstGeom prst="rect">
          <avLst/>
        </a:prstGeom>
        <a:ln>
          <a:prstDash val="solid"/>
        </a:ln>
      </spPr>
    </pic>
    <clientData/>
  </twoCellAnchor>
  <twoCellAnchor>
    <from>
      <col>0</col>
      <colOff>38100</colOff>
      <row>48</row>
      <rowOff>63500</rowOff>
    </from>
    <to>
      <col>0</col>
      <colOff>546100</colOff>
      <row>48</row>
      <rowOff>286524</rowOff>
    </to>
    <pic>
      <nvPicPr>
        <cNvPr id="8" name="Rasasi"/>
        <cNvPicPr>
          <a:picLocks noChangeAspect="1"/>
        </cNvPicPr>
      </nvPicPr>
      <blipFill>
        <a:blip cstate="print" r:embed="rId19"/>
        <a:stretch>
          <a:fillRect/>
        </a:stretch>
      </blipFill>
      <spPr>
        <a:xfrm>
          <a:off x="38100" y="11855450"/>
          <a:ext cx="508000" cy="223024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56</row>
      <rowOff>0</rowOff>
    </from>
    <ext cx="571500" cy="323850"/>
    <pic>
      <nvPicPr>
        <cNvPr id="2" name="Image 16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56</row>
      <rowOff>0</rowOff>
    </from>
    <ext cx="571500" cy="323850"/>
    <pic>
      <nvPicPr>
        <cNvPr id="17" name="Image 17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56</row>
      <rowOff>0</rowOff>
    </from>
    <ext cx="571500" cy="323850"/>
    <pic>
      <nvPicPr>
        <cNvPr id="18" name="Image 18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58</row>
      <rowOff>0</rowOff>
    </from>
    <ext cx="571500" cy="323850"/>
    <pic>
      <nvPicPr>
        <cNvPr id="3" name="Image 19" descr="Picture"/>
        <cNvPicPr/>
      </nvPicPr>
      <blipFill>
        <a:blip cstate="print" r:embed="rId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fragrantica.com/perfume/Afnan/9-PM-Night-Out-123313.html" TargetMode="External" Id="rId1" /><Relationship Type="http://schemas.openxmlformats.org/officeDocument/2006/relationships/hyperlink" Target="https://www.parfumo.com/Perfumes/Afnan_Perfumes/9pm-night-out" TargetMode="External" Id="rId2" /><Relationship Type="http://schemas.openxmlformats.org/officeDocument/2006/relationships/hyperlink" Target="https://www.fragrantica.com/perfume/Afnan/Modest-Pour-Homme-Une-69256.html" TargetMode="External" Id="rId3" /><Relationship Type="http://schemas.openxmlformats.org/officeDocument/2006/relationships/hyperlink" Target="https://www.parfumo.com/Perfumes/Afnan_Perfumes/modest-une-pour-homme" TargetMode="External" Id="rId4" /><Relationship Type="http://schemas.openxmlformats.org/officeDocument/2006/relationships/hyperlink" Target="https://www.fragrantica.com/perfume/Afnan/Rare-Reef-106835.html" TargetMode="External" Id="rId5" /><Relationship Type="http://schemas.openxmlformats.org/officeDocument/2006/relationships/hyperlink" Target="https://www.parfumo.com/Perfumes/Afnan_Perfumes/rare-reef" TargetMode="External" Id="rId6" /><Relationship Type="http://schemas.openxmlformats.org/officeDocument/2006/relationships/hyperlink" Target="https://www.fragrantica.com/perfume/Afnan/Supremacy-Not-Only-Intense-68271.html" TargetMode="External" Id="rId7" /><Relationship Type="http://schemas.openxmlformats.org/officeDocument/2006/relationships/hyperlink" Target="https://www.parfumo.com/Perfumes/Afnan_Perfumes/supremacy-not-only-intense" TargetMode="External" Id="rId8" /><Relationship Type="http://schemas.openxmlformats.org/officeDocument/2006/relationships/hyperlink" Target="https://www.fragrantica.com/perfume/Afnan/Supremacy-Collector-s-Edition-Pour-Homme-98689.html" TargetMode="External" Id="rId9" /><Relationship Type="http://schemas.openxmlformats.org/officeDocument/2006/relationships/hyperlink" Target="https://www.parfumo.com/Perfumes/Afnan_Perfumes/supremacy-collector-s-edition" TargetMode="External" Id="rId10" /><Relationship Type="http://schemas.openxmlformats.org/officeDocument/2006/relationships/hyperlink" Target="https://www.fragrantica.com/perfume/Afnan/Turathi-Blue-70839.html" TargetMode="External" Id="rId11" /><Relationship Type="http://schemas.openxmlformats.org/officeDocument/2006/relationships/hyperlink" Target="https://www.parfumo.com/Perfumes/Afnan_Perfumes/turathi-blue" TargetMode="External" Id="rId12" /><Relationship Type="http://schemas.openxmlformats.org/officeDocument/2006/relationships/hyperlink" Target="https://www.fragrantica.com/perfume/Afnan/Supremacy-Incense-64372.html" TargetMode="External" Id="rId13" /><Relationship Type="http://schemas.openxmlformats.org/officeDocument/2006/relationships/hyperlink" Target="https://www.fragrantica.com/perfume/Ahmed-Al-Maghribi/Black-Fume-132261.html" TargetMode="External" Id="rId14" /><Relationship Type="http://schemas.openxmlformats.org/officeDocument/2006/relationships/hyperlink" Target="https://www.fragrantica.com/perfume/Ahmed-Al-Maghribi/Blu-Oud-107869.html" TargetMode="External" Id="rId15" /><Relationship Type="http://schemas.openxmlformats.org/officeDocument/2006/relationships/hyperlink" Target="https://www.parfumo.com/Perfumes/Ahmed_Al_Maghribi/blu-oud" TargetMode="External" Id="rId16" /><Relationship Type="http://schemas.openxmlformats.org/officeDocument/2006/relationships/hyperlink" Target="https://www.fragrantica.com/perfume/Ahmed-Al-Maghribi/Blue-by-Ahmed-104882.html" TargetMode="External" Id="rId17" /><Relationship Type="http://schemas.openxmlformats.org/officeDocument/2006/relationships/hyperlink" Target="https://www.parfumo.com/Perfumes/Ahmed_Al_Maghribi/blue" TargetMode="External" Id="rId18" /><Relationship Type="http://schemas.openxmlformats.org/officeDocument/2006/relationships/hyperlink" Target="https://www.fragrantica.com/perfume/Ahmed-Al-Maghribi/Kaaf-102460.html" TargetMode="External" Id="rId19" /><Relationship Type="http://schemas.openxmlformats.org/officeDocument/2006/relationships/hyperlink" Target="https://www.parfumo.com/Perfumes/Ahmed_Al_Maghribi/kaaf" TargetMode="External" Id="rId20" /><Relationship Type="http://schemas.openxmlformats.org/officeDocument/2006/relationships/hyperlink" Target="https://www.fragrantica.com/perfume/Ahmed-Al-Maghribi/Muzn-115736.html" TargetMode="External" Id="rId21" /><Relationship Type="http://schemas.openxmlformats.org/officeDocument/2006/relationships/hyperlink" Target="https://www.parfumo.com/Perfumes/Ahmed_Al_Maghribi/muzn" TargetMode="External" Id="rId22" /><Relationship Type="http://schemas.openxmlformats.org/officeDocument/2006/relationships/hyperlink" Target="https://www.fragrantica.com/perfume/Ahmed-Al-Maghribi/Zeleny-104216.html" TargetMode="External" Id="rId23" /><Relationship Type="http://schemas.openxmlformats.org/officeDocument/2006/relationships/hyperlink" Target="https://www.parfumo.com/Perfumes/Ahmed_Al_Maghribi/zeleny" TargetMode="External" Id="rId24" /><Relationship Type="http://schemas.openxmlformats.org/officeDocument/2006/relationships/hyperlink" Target="https://www.fragrantica.com/perfume/Arabiyat-Prestige/Oud-Al-Layl-71446.html" TargetMode="External" Id="rId25" /><Relationship Type="http://schemas.openxmlformats.org/officeDocument/2006/relationships/hyperlink" Target="https://www.parfumo.com/Perfumes/Arabiyat/oud-al-layl-eau-de-parfum" TargetMode="External" Id="rId26" /><Relationship Type="http://schemas.openxmlformats.org/officeDocument/2006/relationships/hyperlink" Target="https://www.fragrantica.com/perfume/Armaf/Club-de-Nuit-Intense-Man-Parfum-72842.html" TargetMode="External" Id="rId27" /><Relationship Type="http://schemas.openxmlformats.org/officeDocument/2006/relationships/hyperlink" Target="https://www.parfumo.com/Perfumes/Armaf/club-de-nuit-intense-man-parfum" TargetMode="External" Id="rId28" /><Relationship Type="http://schemas.openxmlformats.org/officeDocument/2006/relationships/hyperlink" Target="https://www.fragrantica.com/perfume/Davidoff/Cool-Water-507.html" TargetMode="External" Id="rId29" /><Relationship Type="http://schemas.openxmlformats.org/officeDocument/2006/relationships/hyperlink" Target="https://www.parfumo.com/Perfumes/Davidoff/Cool_Water_Eau_de_Toilette" TargetMode="External" Id="rId30" /><Relationship Type="http://schemas.openxmlformats.org/officeDocument/2006/relationships/hyperlink" Target="https://www.fragrantica.com/perfume/French-Avenue/Spectre-Ghost-94697.html" TargetMode="External" Id="rId31" /><Relationship Type="http://schemas.openxmlformats.org/officeDocument/2006/relationships/hyperlink" Target="https://www.parfumo.com/Perfumes/french-avenue/spectre-ghost" TargetMode="External" Id="rId32" /><Relationship Type="http://schemas.openxmlformats.org/officeDocument/2006/relationships/hyperlink" Target="https://www.fragrantica.com/perfume/Ibraheem-AlQurashi/Blue-Diamond-Aqua-100549.html" TargetMode="External" Id="rId33" /><Relationship Type="http://schemas.openxmlformats.org/officeDocument/2006/relationships/hyperlink" Target="https://www.parfumo.com/Perfumes/ibraheem-al-qurashi/blue-diamond-aqua" TargetMode="External" Id="rId34" /><Relationship Type="http://schemas.openxmlformats.org/officeDocument/2006/relationships/hyperlink" Target="https://www.fragrantica.com/perfume/Jaguar/Jaguar-Classic-Black-11793.html" TargetMode="External" Id="rId35" /><Relationship Type="http://schemas.openxmlformats.org/officeDocument/2006/relationships/hyperlink" Target="https://www.parfumo.com/Perfumes/Jaguar/classic-black-eau-de-toilette" TargetMode="External" Id="rId36" /><Relationship Type="http://schemas.openxmlformats.org/officeDocument/2006/relationships/hyperlink" Target="https://www.fragrantica.com/perfume/Lattafa-Perfumes/Ana-Abiyedh-Coral-103256.html" TargetMode="External" Id="rId37" /><Relationship Type="http://schemas.openxmlformats.org/officeDocument/2006/relationships/hyperlink" Target="https://www.parfumo.com/Perfumes/Lattafa/ana-abiyedh-coral" TargetMode="External" Id="rId38" /><Relationship Type="http://schemas.openxmlformats.org/officeDocument/2006/relationships/hyperlink" Target="https://www.fragrantica.com/perfume/Lattafa-Perfumes/Habik-For-Men-110353.html" TargetMode="External" Id="rId39" /><Relationship Type="http://schemas.openxmlformats.org/officeDocument/2006/relationships/hyperlink" Target="https://www.parfumo.com/Perfumes/arabiyat-prestige/habib-1" TargetMode="External" Id="rId40" /><Relationship Type="http://schemas.openxmlformats.org/officeDocument/2006/relationships/hyperlink" Target="https://www.fragrantica.com/perfume/Lattafa-Perfumes/Khamrah-75805.html" TargetMode="External" Id="rId41" /><Relationship Type="http://schemas.openxmlformats.org/officeDocument/2006/relationships/hyperlink" Target="https://www.parfumo.com/Perfumes/Lattafa/khamrah" TargetMode="External" Id="rId42" /><Relationship Type="http://schemas.openxmlformats.org/officeDocument/2006/relationships/hyperlink" Target="https://www.fragrantica.com/perfume/Mancera/French-Riviera-74636.html" TargetMode="External" Id="rId43" /><Relationship Type="http://schemas.openxmlformats.org/officeDocument/2006/relationships/hyperlink" Target="https://www.parfumo.com/Perfumes/Mancera/french-riviera" TargetMode="External" Id="rId44" /><Relationship Type="http://schemas.openxmlformats.org/officeDocument/2006/relationships/hyperlink" Target="https://www.fragrantica.com/perfume/Rasasi/Daarej-pour-Homme-19688.html" TargetMode="External" Id="rId45" /><Relationship Type="http://schemas.openxmlformats.org/officeDocument/2006/relationships/hyperlink" Target="https://www.parfumo.com/Perfumes/Rasasi/daarej-pour-homme" TargetMode="External" Id="rId46" /><Relationship Type="http://schemas.openxmlformats.org/officeDocument/2006/relationships/hyperlink" Target="https://www.fragrantica.com/perfume/Rayhaan/Jungle-Vibe-123211.html" TargetMode="External" Id="rId47" /><Relationship Type="http://schemas.openxmlformats.org/officeDocument/2006/relationships/hyperlink" Target="https://www.parfumo.com/Perfumes/rayhaan/jungle-vibe" TargetMode="External" Id="rId48" /><Relationship Type="http://schemas.openxmlformats.org/officeDocument/2006/relationships/hyperlink" Target="https://www.fragrantica.com/perfume/Rayhaan/Nocturno-116731.html" TargetMode="External" Id="rId49" /><Relationship Type="http://schemas.openxmlformats.org/officeDocument/2006/relationships/hyperlink" Target="https://www.parfumo.com/Perfumes/rayhaan/nocturno" TargetMode="External" Id="rId50" /><Relationship Type="http://schemas.openxmlformats.org/officeDocument/2006/relationships/hyperlink" Target="https://www.fragrantica.com/perfume/Rayhaan/Valhalla-113592.html" TargetMode="External" Id="rId51" /><Relationship Type="http://schemas.openxmlformats.org/officeDocument/2006/relationships/hyperlink" Target="https://www.parfumo.com/Perfumes/rayhaan/valhalla-x-legion" TargetMode="External" Id="rId52" /><Relationship Type="http://schemas.openxmlformats.org/officeDocument/2006/relationships/drawing" Target="/xl/drawings/drawing1.xm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tabSelected="1" topLeftCell="E1" zoomScale="85" zoomScaleNormal="85" workbookViewId="0">
      <pane ySplit="4" topLeftCell="A27" activePane="bottomLeft" state="frozenSplit"/>
      <selection activeCell="C1" sqref="C1"/>
      <selection pane="bottomLeft" activeCell="F31" sqref="F31"/>
    </sheetView>
  </sheetViews>
  <sheetFormatPr baseColWidth="8" defaultRowHeight="14.75"/>
  <cols>
    <col width="12.6796875" customWidth="1" style="46" min="1" max="1"/>
    <col width="22.6796875" customWidth="1" style="46" min="2" max="2"/>
    <col width="38.6796875" customWidth="1" style="46" min="3" max="3"/>
    <col width="34.6796875" customWidth="1" style="46" min="4" max="4"/>
    <col width="11.6796875" customWidth="1" style="46" min="5" max="9"/>
    <col width="10.6796875" customWidth="1" style="46" min="10" max="10"/>
    <col width="95.86328125" bestFit="1" customWidth="1" style="46" min="11" max="11"/>
    <col width="78.90625" bestFit="1" customWidth="1" style="46" min="12" max="12"/>
  </cols>
  <sheetData>
    <row r="1" ht="50" customHeight="1" s="46">
      <c r="A1" s="45" t="inlineStr">
        <is>
          <t>Free shipping on orders over ₹999. Note: Record an unpacking video. No refund without video proof.</t>
        </is>
      </c>
    </row>
    <row r="2">
      <c r="A2" s="47" t="n"/>
    </row>
    <row r="3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</row>
    <row r="4" ht="20" customHeight="1" s="46">
      <c r="A4" s="51" t="inlineStr">
        <is>
          <t>#</t>
        </is>
      </c>
      <c r="B4" s="51" t="inlineStr">
        <is>
          <t>Brand</t>
        </is>
      </c>
      <c r="C4" s="51" t="inlineStr">
        <is>
          <t>Fragrance Name</t>
        </is>
      </c>
      <c r="D4" s="51" t="inlineStr">
        <is>
          <t>Inspired From</t>
        </is>
      </c>
      <c r="E4" s="51" t="inlineStr">
        <is>
          <t>3ml</t>
        </is>
      </c>
      <c r="F4" s="51" t="inlineStr">
        <is>
          <t>5ml</t>
        </is>
      </c>
      <c r="G4" s="51" t="inlineStr">
        <is>
          <t>8ml</t>
        </is>
      </c>
      <c r="H4" s="51" t="inlineStr">
        <is>
          <t>20ml</t>
        </is>
      </c>
      <c r="I4" s="51" t="inlineStr">
        <is>
          <t>30ml</t>
        </is>
      </c>
      <c r="J4" s="51" t="inlineStr">
        <is>
          <t>BNIB</t>
        </is>
      </c>
      <c r="K4" s="51" t="inlineStr">
        <is>
          <t>Fragrantica Link</t>
        </is>
      </c>
      <c r="L4" s="51" t="inlineStr">
        <is>
          <t>Parfumo Link</t>
        </is>
      </c>
    </row>
    <row r="5" ht="38" customHeight="1" s="46">
      <c r="A5" s="10" t="n"/>
      <c r="B5" s="52" t="inlineStr">
        <is>
          <t>Afnan</t>
        </is>
      </c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</row>
    <row r="6" ht="18" customHeight="1" s="46">
      <c r="A6" s="53" t="n">
        <v>1</v>
      </c>
      <c r="B6" s="54" t="inlineStr">
        <is>
          <t>Afnan</t>
        </is>
      </c>
      <c r="C6" s="54" t="inlineStr">
        <is>
          <t>9 PM Night Out</t>
        </is>
      </c>
      <c r="D6" s="54" t="inlineStr">
        <is>
          <t>Forever Wanted Elixir Azzaro</t>
        </is>
      </c>
      <c r="E6" s="55">
        <f>IF(I6&lt;&gt;"",CEILING(3*(I6/30+9),5),"")</f>
        <v/>
      </c>
      <c r="F6" s="55" t="n">
        <v>189</v>
      </c>
      <c r="G6" s="55" t="n">
        <v>289</v>
      </c>
      <c r="H6" s="55">
        <f>IF(I6&lt;&gt;"",CEILING(20*(I6/30+1),5),"")</f>
        <v/>
      </c>
      <c r="I6" s="55" t="n">
        <v>949</v>
      </c>
      <c r="J6" s="2" t="n"/>
      <c r="K6" s="56" t="inlineStr">
        <is>
          <t>https://www.fragrantica.com/perfume/Afnan/9-PM-Night-Out-123313.html</t>
        </is>
      </c>
      <c r="L6" s="56" t="inlineStr">
        <is>
          <t>https://www.parfumo.com/Perfumes/Afnan_Perfumes/9pm-night-out</t>
        </is>
      </c>
    </row>
    <row r="7" ht="18" customHeight="1" s="46">
      <c r="A7" s="57" t="n">
        <v>2</v>
      </c>
      <c r="B7" s="58" t="inlineStr">
        <is>
          <t>Afnan</t>
        </is>
      </c>
      <c r="C7" s="58" t="inlineStr">
        <is>
          <t>Modest Une Pour Homme</t>
        </is>
      </c>
      <c r="D7" s="58" t="inlineStr">
        <is>
          <t>Sauvage</t>
        </is>
      </c>
      <c r="E7" s="59" t="n">
        <v>105</v>
      </c>
      <c r="F7" s="59" t="n">
        <v>159</v>
      </c>
      <c r="G7" s="59" t="n">
        <v>239</v>
      </c>
      <c r="H7" s="59" t="n">
        <v>539</v>
      </c>
      <c r="I7" s="57" t="n">
        <v>779</v>
      </c>
      <c r="J7" s="13" t="n"/>
      <c r="K7" s="60" t="inlineStr">
        <is>
          <t>https://www.fragrantica.com/perfume/Afnan/Modest-Pour-Homme-Une-69256.html</t>
        </is>
      </c>
      <c r="L7" s="60" t="inlineStr">
        <is>
          <t>https://www.parfumo.com/Perfumes/Afnan_Perfumes/modest-une-pour-homme</t>
        </is>
      </c>
    </row>
    <row r="8" ht="18" customHeight="1" s="46">
      <c r="A8" s="53" t="n">
        <v>3</v>
      </c>
      <c r="B8" s="54" t="inlineStr">
        <is>
          <t>Afnan</t>
        </is>
      </c>
      <c r="C8" s="54" t="inlineStr">
        <is>
          <t>Rare Reef</t>
        </is>
      </c>
      <c r="D8" s="54" t="inlineStr">
        <is>
          <t>Pacific Chill</t>
        </is>
      </c>
      <c r="E8" s="55" t="n">
        <v>119</v>
      </c>
      <c r="F8" s="55" t="n">
        <v>179</v>
      </c>
      <c r="G8" s="55">
        <f>IF(I8&lt;&gt;"",CEILING(8*(I8/30+4),5),"")</f>
        <v/>
      </c>
      <c r="H8" s="55" t="n">
        <v>619</v>
      </c>
      <c r="I8" s="53" t="n">
        <v>899</v>
      </c>
      <c r="J8" s="2" t="n"/>
      <c r="K8" s="56" t="inlineStr">
        <is>
          <t>https://www.fragrantica.com/perfume/Afnan/Rare-Reef-106835.html</t>
        </is>
      </c>
      <c r="L8" s="56" t="inlineStr">
        <is>
          <t>https://www.parfumo.com/Perfumes/Afnan_Perfumes/rare-reef</t>
        </is>
      </c>
    </row>
    <row r="9" ht="18" customHeight="1" s="46">
      <c r="A9" s="57" t="n">
        <v>4</v>
      </c>
      <c r="B9" s="58" t="inlineStr">
        <is>
          <t>Afnan</t>
        </is>
      </c>
      <c r="C9" s="58" t="inlineStr">
        <is>
          <t>SNOI (Supremacy Not Only Intense)</t>
        </is>
      </c>
      <c r="D9" s="58" t="inlineStr">
        <is>
          <t>Blend inspired by Aventus and Hacivat</t>
        </is>
      </c>
      <c r="E9" s="59" t="n">
        <v>109</v>
      </c>
      <c r="F9" s="59">
        <f>IF(I9&lt;&gt;"",CEILING(5*(I9/30+6),5),"")</f>
        <v/>
      </c>
      <c r="G9" s="59" t="n">
        <v>249</v>
      </c>
      <c r="H9" s="59">
        <f>IF(I9&lt;&gt;"",CEILING(20*(I9/30+1),5),"")</f>
        <v/>
      </c>
      <c r="I9" s="57" t="n">
        <v>799</v>
      </c>
      <c r="J9" s="13" t="n"/>
      <c r="K9" s="60" t="inlineStr">
        <is>
          <t>https://www.fragrantica.com/perfume/Afnan/Supremacy-Not-Only-Intense-68271.html</t>
        </is>
      </c>
      <c r="L9" s="60" t="inlineStr">
        <is>
          <t>https://www.parfumo.com/Perfumes/Afnan_Perfumes/supremacy-not-only-intense</t>
        </is>
      </c>
    </row>
    <row r="10" ht="18" customHeight="1" s="46">
      <c r="A10" s="53" t="n">
        <v>5</v>
      </c>
      <c r="B10" s="54" t="inlineStr">
        <is>
          <t>Afnan</t>
        </is>
      </c>
      <c r="C10" s="54" t="inlineStr">
        <is>
          <t>Supremacy Collector's Edition</t>
        </is>
      </c>
      <c r="D10" s="54" t="inlineStr">
        <is>
          <t>Aventus Absolu</t>
        </is>
      </c>
      <c r="E10" s="55" t="n">
        <v>149</v>
      </c>
      <c r="F10" s="55" t="n">
        <v>229</v>
      </c>
      <c r="G10" s="55">
        <f>IF(I10&lt;&gt;"",CEILING(8*(I10/30+4),5),"")</f>
        <v/>
      </c>
      <c r="H10" s="55" t="n">
        <v>819</v>
      </c>
      <c r="I10" s="53" t="n">
        <v>1199</v>
      </c>
      <c r="J10" s="2" t="n"/>
      <c r="K10" s="56" t="inlineStr">
        <is>
          <t>https://www.fragrantica.com/perfume/Afnan/Supremacy-Collector-s-Edition-Pour-Homme-98689.html</t>
        </is>
      </c>
      <c r="L10" s="56" t="inlineStr">
        <is>
          <t>https://www.parfumo.com/Perfumes/Afnan_Perfumes/supremacy-collector-s-edition</t>
        </is>
      </c>
    </row>
    <row r="11" ht="18" customHeight="1" s="46">
      <c r="A11" s="57" t="n">
        <v>6</v>
      </c>
      <c r="B11" s="58" t="inlineStr">
        <is>
          <t>Afnan</t>
        </is>
      </c>
      <c r="C11" s="58" t="inlineStr">
        <is>
          <t>Turathi Blue</t>
        </is>
      </c>
      <c r="D11" s="58" t="inlineStr">
        <is>
          <t>Tygar</t>
        </is>
      </c>
      <c r="E11" s="59">
        <f>IF(I11&lt;&gt;"",CEILING(3*(I11/30+9),5),"")</f>
        <v/>
      </c>
      <c r="F11" s="59">
        <f>IF(I11&lt;&gt;"",CEILING(5*(I11/30+6),5),"")</f>
        <v/>
      </c>
      <c r="G11" s="59" t="n">
        <v>259</v>
      </c>
      <c r="H11" s="59" t="n">
        <v>589</v>
      </c>
      <c r="I11" s="57" t="n">
        <v>849</v>
      </c>
      <c r="J11" s="13" t="n"/>
      <c r="K11" s="60" t="inlineStr">
        <is>
          <t>https://www.fragrantica.com/perfume/Afnan/Turathi-Blue-70839.html</t>
        </is>
      </c>
      <c r="L11" s="60" t="inlineStr">
        <is>
          <t>https://www.parfumo.com/Perfumes/Afnan_Perfumes/turathi-blue</t>
        </is>
      </c>
    </row>
    <row r="12" ht="18" customHeight="1" s="46">
      <c r="A12" s="15" t="n"/>
      <c r="B12" s="58" t="inlineStr">
        <is>
          <t>Afnan</t>
        </is>
      </c>
      <c r="C12" s="58" t="inlineStr">
        <is>
          <t>Supremacy Incense</t>
        </is>
      </c>
      <c r="D12" s="61" t="inlineStr">
        <is>
          <t>Interlude Man</t>
        </is>
      </c>
      <c r="E12" s="59" t="n">
        <v>119</v>
      </c>
      <c r="F12" s="59" t="n">
        <v>179</v>
      </c>
      <c r="G12" s="37" t="n"/>
      <c r="H12" s="37" t="n"/>
      <c r="I12" s="36" t="n"/>
      <c r="J12" s="36" t="n"/>
      <c r="K12" s="60" t="inlineStr">
        <is>
          <t>https://www.fragrantica.com/perfume/Afnan/Supremacy-Incense-64372.html</t>
        </is>
      </c>
      <c r="L12" s="60" t="inlineStr">
        <is>
          <t>https://www.parfumo.com/Perfumes/Afnan_Perfumes/supremacy-incense</t>
        </is>
      </c>
    </row>
    <row r="13" ht="38" customHeight="1" s="46">
      <c r="A13" s="10" t="n"/>
      <c r="B13" s="52" t="inlineStr">
        <is>
          <t>Ahmed Al Maghribi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</row>
    <row r="14" ht="18" customHeight="1" s="46">
      <c r="A14" s="53" t="n">
        <v>7</v>
      </c>
      <c r="B14" s="54" t="inlineStr">
        <is>
          <t>Ahmed Al Maghribi</t>
        </is>
      </c>
      <c r="C14" s="54" t="inlineStr">
        <is>
          <t>Black Fume</t>
        </is>
      </c>
      <c r="D14" s="54" t="inlineStr">
        <is>
          <t>Terroni</t>
        </is>
      </c>
      <c r="E14" s="55" t="n">
        <v>99</v>
      </c>
      <c r="F14" s="55" t="n">
        <v>149</v>
      </c>
      <c r="G14" s="55" t="n">
        <v>219</v>
      </c>
      <c r="H14" s="55" t="n">
        <v>489</v>
      </c>
      <c r="I14" s="53" t="n">
        <v>699</v>
      </c>
      <c r="J14" s="2" t="n"/>
      <c r="K14" s="56" t="inlineStr">
        <is>
          <t>https://www.fragrantica.com/perfume/Ahmed-Al-Maghribi/Black-Fume-132261.html</t>
        </is>
      </c>
      <c r="L14" s="54" t="inlineStr">
        <is>
          <t>N/A (Fragrance World banned on Parfumo)</t>
        </is>
      </c>
    </row>
    <row r="15" ht="18" customHeight="1" s="46">
      <c r="A15" s="57" t="n">
        <v>8</v>
      </c>
      <c r="B15" s="58" t="inlineStr">
        <is>
          <t>Ahmed Al Maghribi</t>
        </is>
      </c>
      <c r="C15" s="58" t="inlineStr">
        <is>
          <t>Blu Oud</t>
        </is>
      </c>
      <c r="D15" s="58" t="inlineStr">
        <is>
          <t>Ombre Leather / Imperial Valley</t>
        </is>
      </c>
      <c r="E15" s="59">
        <f>IF(I15&lt;&gt;"",CEILING(3*(I15/30+9),5),"")</f>
        <v/>
      </c>
      <c r="F15" s="59" t="n">
        <v>139</v>
      </c>
      <c r="G15" s="59" t="n">
        <v>209</v>
      </c>
      <c r="H15" s="59">
        <f>IF(I15&lt;&gt;"",CEILING(20*(I15/30+1),5),"")</f>
        <v/>
      </c>
      <c r="I15" s="57" t="n">
        <v>649</v>
      </c>
      <c r="J15" s="13" t="n"/>
      <c r="K15" s="60" t="inlineStr">
        <is>
          <t>https://www.fragrantica.com/perfume/Ahmed-Al-Maghribi/Blu-Oud-107869.html</t>
        </is>
      </c>
      <c r="L15" s="60" t="inlineStr">
        <is>
          <t>https://www.parfumo.com/Perfumes/Ahmed_Al_Maghribi/blu-oud</t>
        </is>
      </c>
    </row>
    <row r="16" ht="18" customHeight="1" s="46">
      <c r="A16" s="53" t="n">
        <v>9</v>
      </c>
      <c r="B16" s="54" t="inlineStr">
        <is>
          <t>Ahmed Al Maghribi</t>
        </is>
      </c>
      <c r="C16" s="54" t="inlineStr">
        <is>
          <t>Blue</t>
        </is>
      </c>
      <c r="D16" s="54" t="inlineStr">
        <is>
          <t>Bleu de Chanel</t>
        </is>
      </c>
      <c r="E16" s="55" t="n">
        <v>89</v>
      </c>
      <c r="F16" s="55" t="n">
        <v>129</v>
      </c>
      <c r="G16" s="55">
        <f>IF(I16&lt;&gt;"",CEILING(8*(I16/30+4),5),"")</f>
        <v/>
      </c>
      <c r="H16" s="55" t="n">
        <v>419</v>
      </c>
      <c r="I16" s="53" t="n">
        <v>599</v>
      </c>
      <c r="J16" s="2" t="n"/>
      <c r="K16" s="56" t="inlineStr">
        <is>
          <t>https://www.fragrantica.com/perfume/Ahmed-Al-Maghribi/Blue-by-Ahmed-104882.html</t>
        </is>
      </c>
      <c r="L16" s="56" t="inlineStr">
        <is>
          <t>https://www.parfumo.com/Perfumes/Ahmed_Al_Maghribi/blue</t>
        </is>
      </c>
    </row>
    <row r="17" ht="18" customHeight="1" s="46">
      <c r="A17" s="57" t="n">
        <v>10</v>
      </c>
      <c r="B17" s="58" t="inlineStr">
        <is>
          <t>Ahmed Al Maghribi</t>
        </is>
      </c>
      <c r="C17" s="58" t="inlineStr">
        <is>
          <t>Kaaf Extrait</t>
        </is>
      </c>
      <c r="D17" s="58" t="inlineStr">
        <is>
          <t>Percival Parfums de Marly</t>
        </is>
      </c>
      <c r="E17" s="59">
        <f>IF(I17&lt;&gt;"",CEILING(3*(I17/30+9),5),"")</f>
        <v/>
      </c>
      <c r="F17" s="59">
        <f>IF(I17&lt;&gt;"",CEILING(5*(I17/30+6),5),"")</f>
        <v/>
      </c>
      <c r="G17" s="59">
        <f>IF(I17&lt;&gt;"",CEILING(8*(I17/30+4),5),"")</f>
        <v/>
      </c>
      <c r="H17" s="59">
        <f>IF(I17&lt;&gt;"",CEILING(20*(I17/30+1),5),"")</f>
        <v/>
      </c>
      <c r="I17" s="57" t="n">
        <v>679</v>
      </c>
      <c r="J17" s="13" t="n"/>
      <c r="K17" s="60" t="inlineStr">
        <is>
          <t>https://www.fragrantica.com/perfume/Ahmed-Al-Maghribi/Kaaf-102460.html</t>
        </is>
      </c>
      <c r="L17" s="60" t="inlineStr">
        <is>
          <t>https://www.parfumo.com/Perfumes/Ahmed_Al_Maghribi/kaaf</t>
        </is>
      </c>
    </row>
    <row r="18" ht="18" customHeight="1" s="46">
      <c r="A18" s="53" t="n">
        <v>11</v>
      </c>
      <c r="B18" s="54" t="inlineStr">
        <is>
          <t>Ahmed Al Maghribi</t>
        </is>
      </c>
      <c r="C18" s="54" t="inlineStr">
        <is>
          <t>Muzn</t>
        </is>
      </c>
      <c r="D18" s="54" t="inlineStr">
        <is>
          <t>Original</t>
        </is>
      </c>
      <c r="E18" s="55" t="n">
        <v>109</v>
      </c>
      <c r="F18" s="55">
        <f>IF(I18&lt;&gt;"",CEILING(5*(I18/30+6),5),"")</f>
        <v/>
      </c>
      <c r="G18" s="55" t="n">
        <v>249</v>
      </c>
      <c r="H18" s="55">
        <f>IF(I18&lt;&gt;"",CEILING(20*(I18/30+1),5),"")</f>
        <v/>
      </c>
      <c r="I18" s="53" t="n">
        <v>799</v>
      </c>
      <c r="J18" s="2" t="n"/>
      <c r="K18" s="56" t="inlineStr">
        <is>
          <t>https://www.fragrantica.com/perfume/Ahmed-Al-Maghribi/Muzn-115736.html</t>
        </is>
      </c>
      <c r="L18" s="56" t="inlineStr">
        <is>
          <t>https://www.parfumo.com/Perfumes/Ahmed_Al_Maghribi/muzn</t>
        </is>
      </c>
    </row>
    <row r="19" ht="18" customHeight="1" s="46">
      <c r="A19" s="57" t="n">
        <v>12</v>
      </c>
      <c r="B19" s="58" t="inlineStr">
        <is>
          <t>Ahmed Al Maghribi</t>
        </is>
      </c>
      <c r="C19" s="58" t="inlineStr">
        <is>
          <t>Zeleny</t>
        </is>
      </c>
      <c r="D19" s="58" t="inlineStr">
        <is>
          <t>Greenley</t>
        </is>
      </c>
      <c r="E19" s="59" t="n">
        <v>89</v>
      </c>
      <c r="F19" s="59" t="n">
        <v>129</v>
      </c>
      <c r="G19" s="59">
        <f>IF(I19&lt;&gt;"",CEILING(8*(I19/30+4),5),"")</f>
        <v/>
      </c>
      <c r="H19" s="59" t="n">
        <v>419</v>
      </c>
      <c r="I19" s="57" t="n">
        <v>599</v>
      </c>
      <c r="J19" s="13" t="n"/>
      <c r="K19" s="60" t="inlineStr">
        <is>
          <t>https://www.fragrantica.com/perfume/Ahmed-Al-Maghribi/Zeleny-104216.html</t>
        </is>
      </c>
      <c r="L19" s="60" t="inlineStr">
        <is>
          <t>https://www.parfumo.com/Perfumes/Ahmed_Al_Maghribi/zeleny</t>
        </is>
      </c>
    </row>
    <row r="20" ht="38" customHeight="1" s="46">
      <c r="A20" s="10" t="n"/>
      <c r="B20" s="52" t="inlineStr">
        <is>
          <t>Arabiyat Prestige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</row>
    <row r="21" ht="18" customHeight="1" s="46">
      <c r="A21" s="53" t="n">
        <v>13</v>
      </c>
      <c r="B21" s="54" t="inlineStr">
        <is>
          <t>Arabiyat Prestige</t>
        </is>
      </c>
      <c r="C21" s="54" t="inlineStr">
        <is>
          <t>Midnight (Oud al Layl)</t>
        </is>
      </c>
      <c r="D21" s="54" t="inlineStr">
        <is>
          <t>Hawas</t>
        </is>
      </c>
      <c r="E21" s="55" t="n">
        <v>69</v>
      </c>
      <c r="F21" s="55" t="n">
        <v>99</v>
      </c>
      <c r="G21" s="55" t="n">
        <v>139</v>
      </c>
      <c r="H21" s="55" t="n">
        <v>289</v>
      </c>
      <c r="I21" s="53" t="n">
        <v>399</v>
      </c>
      <c r="J21" s="2" t="n"/>
      <c r="K21" s="56" t="inlineStr">
        <is>
          <t>https://www.fragrantica.com/perfume/Arabiyat-Prestige/Oud-Al-Layl-71446.html</t>
        </is>
      </c>
      <c r="L21" s="56" t="inlineStr">
        <is>
          <t>https://www.parfumo.com/Perfumes/Arabiyat/oud-al-layl-eau-de-parfum</t>
        </is>
      </c>
    </row>
    <row r="22" ht="38" customHeight="1" s="46">
      <c r="A22" s="10" t="n"/>
      <c r="B22" s="52" t="inlineStr">
        <is>
          <t>Armaf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</row>
    <row r="23" ht="18" customHeight="1" s="46">
      <c r="A23" s="57" t="n">
        <v>14</v>
      </c>
      <c r="B23" s="58" t="inlineStr">
        <is>
          <t>Armaf</t>
        </is>
      </c>
      <c r="C23" s="58" t="inlineStr">
        <is>
          <t>CDNIM PP (Club de Nuit Intense Man Pure Parfum)</t>
        </is>
      </c>
      <c r="D23" s="58" t="inlineStr">
        <is>
          <t>Aventus</t>
        </is>
      </c>
      <c r="E23" s="59" t="n">
        <v>109</v>
      </c>
      <c r="F23" s="59" t="n">
        <v>169</v>
      </c>
      <c r="G23" s="59">
        <f>IF(I23&lt;&gt;"",CEILING(8*(I23/30+4),5),"")</f>
        <v/>
      </c>
      <c r="H23" s="59">
        <f>IF(I23&lt;&gt;"",CEILING(20*(I23/30+1),5),"")</f>
        <v/>
      </c>
      <c r="I23" s="57" t="n">
        <v>829</v>
      </c>
      <c r="J23" s="13" t="n"/>
      <c r="K23" s="60" t="inlineStr">
        <is>
          <t>https://www.fragrantica.com/perfume/Armaf/Club-de-Nuit-Intense-Man-Parfum-72842.html</t>
        </is>
      </c>
      <c r="L23" s="60" t="inlineStr">
        <is>
          <t>https://www.parfumo.com/Perfumes/Armaf/club-de-nuit-intense-man-parfum</t>
        </is>
      </c>
    </row>
    <row r="24" ht="38" customHeight="1" s="46">
      <c r="A24" s="10" t="n"/>
      <c r="B24" s="52" t="inlineStr">
        <is>
          <t>Davidoff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</row>
    <row r="25" ht="18" customHeight="1" s="46">
      <c r="A25" s="53" t="n">
        <v>15</v>
      </c>
      <c r="B25" s="54" t="inlineStr">
        <is>
          <t>Davidoff</t>
        </is>
      </c>
      <c r="C25" s="54" t="inlineStr">
        <is>
          <t>Cool Water</t>
        </is>
      </c>
      <c r="D25" s="54" t="inlineStr">
        <is>
          <t>Original</t>
        </is>
      </c>
      <c r="E25" s="55" t="n">
        <v>89</v>
      </c>
      <c r="F25" s="55" t="n">
        <v>129</v>
      </c>
      <c r="G25" s="55">
        <f>IF(I25&lt;&gt;"",CEILING(8*(I25/30+4),5),"")</f>
        <v/>
      </c>
      <c r="H25" s="55" t="n">
        <v>419</v>
      </c>
      <c r="I25" s="53" t="n">
        <v>599</v>
      </c>
      <c r="J25" s="2" t="n"/>
      <c r="K25" s="56" t="inlineStr">
        <is>
          <t>https://www.fragrantica.com/perfume/Davidoff/Cool-Water-507.html</t>
        </is>
      </c>
      <c r="L25" s="56" t="inlineStr">
        <is>
          <t>https://www.parfumo.com/Perfumes/Davidoff/Cool_Water_Eau_de_Toilette</t>
        </is>
      </c>
    </row>
    <row r="26" ht="38" customHeight="1" s="46">
      <c r="A26" s="10" t="n"/>
      <c r="B26" s="52" t="inlineStr">
        <is>
          <t>French Avenue</t>
        </is>
      </c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</row>
    <row r="27" ht="18" customHeight="1" s="46">
      <c r="A27" s="57" t="n">
        <v>16</v>
      </c>
      <c r="B27" s="58" t="inlineStr">
        <is>
          <t>French Avenue</t>
        </is>
      </c>
      <c r="C27" s="58" t="inlineStr">
        <is>
          <t>Spectre Ghost</t>
        </is>
      </c>
      <c r="D27" s="58" t="inlineStr">
        <is>
          <t>Ani</t>
        </is>
      </c>
      <c r="E27" s="59">
        <f>IF(I27&lt;&gt;"",CEILING(3*(I27/30+9),5),"")</f>
        <v/>
      </c>
      <c r="F27" s="59" t="n">
        <v>189</v>
      </c>
      <c r="G27" s="59" t="n">
        <v>289</v>
      </c>
      <c r="H27" s="59">
        <f>IF(I27&lt;&gt;"",CEILING(20*(I27/30+1),5),"")</f>
        <v/>
      </c>
      <c r="I27" s="57" t="n">
        <v>949</v>
      </c>
      <c r="J27" s="13" t="n"/>
      <c r="K27" s="60" t="inlineStr">
        <is>
          <t>https://www.fragrantica.com/perfume/French-Avenue/Spectre-Ghost-94697.html</t>
        </is>
      </c>
      <c r="L27" s="60" t="inlineStr">
        <is>
          <t>https://www.parfumo.com/Perfumes/french-avenue/spectre-ghost</t>
        </is>
      </c>
    </row>
    <row r="28" ht="18" customHeight="1" s="46">
      <c r="A28" s="15" t="n"/>
      <c r="B28" s="58" t="inlineStr">
        <is>
          <t>French Avenue</t>
        </is>
      </c>
      <c r="C28" s="58" t="inlineStr">
        <is>
          <t>Aether Extrait</t>
        </is>
      </c>
      <c r="D28" s="58" t="inlineStr">
        <is>
          <t>Greenley Parfums de Marly</t>
        </is>
      </c>
      <c r="E28" s="59" t="n">
        <v>129</v>
      </c>
      <c r="F28" s="37" t="n"/>
      <c r="G28" s="37" t="n"/>
      <c r="H28" s="37" t="n"/>
      <c r="I28" s="36" t="n"/>
      <c r="J28" s="36" t="n"/>
      <c r="K28" s="60" t="inlineStr">
        <is>
          <t>https://www.fragrantica.com/perfume/French-Avenue/Aether-94702.html</t>
        </is>
      </c>
      <c r="L28" s="60" t="inlineStr">
        <is>
          <t>https://www.parfumo.com/Perfumes/french-avenue/aether</t>
        </is>
      </c>
    </row>
    <row r="29" ht="38" customHeight="1" s="46">
      <c r="A29" s="10" t="n"/>
      <c r="B29" s="52" t="inlineStr">
        <is>
          <t>Ibraq</t>
        </is>
      </c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</row>
    <row r="30" ht="18" customHeight="1" s="46">
      <c r="A30" s="53" t="n">
        <v>17</v>
      </c>
      <c r="B30" s="54" t="inlineStr">
        <is>
          <t>Ibraq</t>
        </is>
      </c>
      <c r="C30" s="54" t="inlineStr">
        <is>
          <t>Blue Diamond Aqua</t>
        </is>
      </c>
      <c r="D30" s="54" t="inlineStr">
        <is>
          <t>Imperial Valley</t>
        </is>
      </c>
      <c r="E30" s="55">
        <f>IF(I30&lt;&gt;"",CEILING(3*(I30/30+9),5),"")</f>
        <v/>
      </c>
      <c r="F30" s="55" t="n">
        <v>139</v>
      </c>
      <c r="G30" s="55" t="n">
        <v>209</v>
      </c>
      <c r="H30" s="55">
        <f>IF(I30&lt;&gt;"",CEILING(20*(I30/30+1),5),"")</f>
        <v/>
      </c>
      <c r="I30" s="53" t="n">
        <v>649</v>
      </c>
      <c r="J30" s="2" t="n"/>
      <c r="K30" s="56" t="inlineStr">
        <is>
          <t>https://www.fragrantica.com/perfume/Ibraheem-AlQurashi/Blue-Diamond-Aqua-100549.html</t>
        </is>
      </c>
      <c r="L30" s="56" t="inlineStr">
        <is>
          <t>https://www.parfumo.com/Perfumes/ibraheem-al-qurashi/blue-diamond-aqua</t>
        </is>
      </c>
    </row>
    <row r="31" ht="18" customHeight="1" s="46">
      <c r="A31" s="6" t="n"/>
      <c r="B31" s="54" t="inlineStr">
        <is>
          <t>Ibraq</t>
        </is>
      </c>
      <c r="C31" s="54" t="inlineStr">
        <is>
          <t>Marj</t>
        </is>
      </c>
      <c r="D31" s="54" t="inlineStr">
        <is>
          <t>Original</t>
        </is>
      </c>
      <c r="E31" s="55" t="n">
        <v>209</v>
      </c>
      <c r="F31" s="33" t="n"/>
      <c r="G31" s="33" t="n"/>
      <c r="H31" s="33" t="n"/>
      <c r="I31" s="53" t="n">
        <v>1800</v>
      </c>
      <c r="J31" s="32" t="n"/>
      <c r="K31" s="56" t="inlineStr">
        <is>
          <t>https://www.fragrantica.com/perfume/Ahmed-Al-Maghribi/Marj-104339.html</t>
        </is>
      </c>
      <c r="L31" s="56" t="inlineStr">
        <is>
          <t>https://www.parfumo.com/Perfumes/Ahmed_Al_Maghribi/marj-eau-de-parfum</t>
        </is>
      </c>
    </row>
    <row r="32" ht="18" customHeight="1" s="46">
      <c r="A32" s="6" t="n"/>
      <c r="B32" s="54" t="inlineStr">
        <is>
          <t>Ibraq</t>
        </is>
      </c>
      <c r="C32" s="54" t="inlineStr">
        <is>
          <t>Blueberry Musk</t>
        </is>
      </c>
      <c r="D32" s="54" t="inlineStr">
        <is>
          <t>Original</t>
        </is>
      </c>
      <c r="E32" s="55" t="n">
        <v>115</v>
      </c>
      <c r="F32" s="33" t="n"/>
      <c r="G32" s="33" t="n"/>
      <c r="H32" s="33" t="n"/>
      <c r="I32" s="32" t="n"/>
      <c r="J32" s="32" t="n"/>
      <c r="K32" s="34" t="n"/>
      <c r="L32" s="56" t="inlineStr">
        <is>
          <t>https://www.parfumo.com/Perfumes/ibraheem-al-qurashi/blueberry-musk-ibraheem-alqurashi-special</t>
        </is>
      </c>
    </row>
    <row r="33" ht="18" customHeight="1" s="46">
      <c r="A33" s="6" t="n"/>
      <c r="B33" s="54" t="inlineStr">
        <is>
          <t>Ibraq</t>
        </is>
      </c>
      <c r="C33" s="54" t="inlineStr">
        <is>
          <t>Spanish Tobacco</t>
        </is>
      </c>
      <c r="D33" s="54" t="inlineStr">
        <is>
          <t>Megamre</t>
        </is>
      </c>
      <c r="E33" s="55" t="n">
        <v>139</v>
      </c>
      <c r="F33" s="55" t="n">
        <v>215</v>
      </c>
      <c r="G33" s="33" t="n"/>
      <c r="H33" s="33" t="n"/>
      <c r="I33" s="32" t="n"/>
      <c r="J33" s="32" t="n"/>
      <c r="K33" s="56" t="inlineStr">
        <is>
          <t>https://www.fragrantica.com/perfume/Ibraheem-AlQurashi/Spanish-Tobacco-100551.html</t>
        </is>
      </c>
      <c r="L33" s="56" t="inlineStr">
        <is>
          <t>https://www.parfumo.com/Perfumes/ibraheem-al-qurashi/spanish-tobacco</t>
        </is>
      </c>
    </row>
    <row r="34" ht="18" customHeight="1" s="46">
      <c r="A34" s="6" t="n"/>
      <c r="B34" s="54" t="inlineStr">
        <is>
          <t>Ibraq</t>
        </is>
      </c>
      <c r="C34" s="54" t="inlineStr">
        <is>
          <t>Brazilian Tobacco</t>
        </is>
      </c>
      <c r="D34" s="54" t="inlineStr">
        <is>
          <t>Haltane</t>
        </is>
      </c>
      <c r="E34" s="55" t="n">
        <v>139</v>
      </c>
      <c r="F34" s="55" t="n">
        <v>215</v>
      </c>
      <c r="G34" s="33" t="n"/>
      <c r="H34" s="33" t="n"/>
      <c r="I34" s="32" t="n"/>
      <c r="J34" s="32" t="n"/>
      <c r="K34" s="56" t="inlineStr">
        <is>
          <t>https://www.fragrantica.com/perfume/Ibraheem-AlQurashi/Brazilian-Tobacco-100562.html</t>
        </is>
      </c>
      <c r="L34" s="34" t="n"/>
    </row>
    <row r="35" ht="18" customHeight="1" s="46">
      <c r="A35" s="6" t="n"/>
      <c r="B35" s="54" t="inlineStr">
        <is>
          <t>Ibraq</t>
        </is>
      </c>
      <c r="C35" s="54" t="inlineStr">
        <is>
          <t>Blue Oud</t>
        </is>
      </c>
      <c r="D35" s="54" t="inlineStr">
        <is>
          <t>Obre Nomade</t>
        </is>
      </c>
      <c r="E35" s="55" t="n">
        <v>159</v>
      </c>
      <c r="F35" s="55" t="n">
        <v>249</v>
      </c>
      <c r="G35" s="33" t="n"/>
      <c r="H35" s="33" t="n"/>
      <c r="I35" s="32" t="n"/>
      <c r="J35" s="32" t="n"/>
      <c r="K35" s="56" t="inlineStr">
        <is>
          <t>https://www.fragrantica.com/perfume/Ibraheem-AlQurashi/Blue-Oud-100576.html</t>
        </is>
      </c>
      <c r="L35" s="56" t="inlineStr">
        <is>
          <t>https://www.parfumo.com/Perfumes/ibraheem-al-qurashi/blue-oud</t>
        </is>
      </c>
    </row>
    <row r="36" ht="38" customHeight="1" s="46">
      <c r="A36" s="10" t="n"/>
      <c r="B36" s="52" t="inlineStr">
        <is>
          <t>Jaguar</t>
        </is>
      </c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</row>
    <row r="37" ht="18" customHeight="1" s="46">
      <c r="A37" s="57" t="n">
        <v>18</v>
      </c>
      <c r="B37" s="58" t="inlineStr">
        <is>
          <t>Jaguar</t>
        </is>
      </c>
      <c r="C37" s="58" t="inlineStr">
        <is>
          <t>Classic Black</t>
        </is>
      </c>
      <c r="D37" s="58" t="inlineStr">
        <is>
          <t>Original</t>
        </is>
      </c>
      <c r="E37" s="59" t="n">
        <v>89</v>
      </c>
      <c r="F37" s="59" t="n">
        <v>129</v>
      </c>
      <c r="G37" s="59">
        <f>IF(I37&lt;&gt;"",CEILING(8*(I37/30+4),5),"")</f>
        <v/>
      </c>
      <c r="H37" s="59" t="n">
        <v>419</v>
      </c>
      <c r="I37" s="57" t="n">
        <v>599</v>
      </c>
      <c r="J37" s="13" t="n"/>
      <c r="K37" s="60" t="inlineStr">
        <is>
          <t>https://www.fragrantica.com/perfume/Jaguar/Jaguar-Classic-Black-11793.html</t>
        </is>
      </c>
      <c r="L37" s="60" t="inlineStr">
        <is>
          <t>https://www.parfumo.com/Perfumes/Jaguar/classic-black-eau-de-toilette</t>
        </is>
      </c>
    </row>
    <row r="38" ht="38" customHeight="1" s="46">
      <c r="A38" s="10" t="n"/>
      <c r="B38" s="52" t="inlineStr">
        <is>
          <t>Lattafa</t>
        </is>
      </c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</row>
    <row r="39" ht="18" customHeight="1" s="46">
      <c r="A39" s="53" t="n">
        <v>19</v>
      </c>
      <c r="B39" s="54" t="inlineStr">
        <is>
          <t>Lattafa</t>
        </is>
      </c>
      <c r="C39" s="54" t="inlineStr">
        <is>
          <t>Ana Abiyed Coral</t>
        </is>
      </c>
      <c r="D39" s="54" t="inlineStr">
        <is>
          <t>Wavechild Room 1015</t>
        </is>
      </c>
      <c r="E39" s="55">
        <f>IF(I39&lt;&gt;"",CEILING(3*(I39/30+9),5),"")</f>
        <v/>
      </c>
      <c r="F39" s="55" t="n">
        <v>139</v>
      </c>
      <c r="G39" s="55" t="n">
        <v>209</v>
      </c>
      <c r="H39" s="55">
        <f>IF(I39&lt;&gt;"",CEILING(20*(I39/30+1),5),"")</f>
        <v/>
      </c>
      <c r="I39" s="53" t="n">
        <v>649</v>
      </c>
      <c r="J39" s="2" t="n"/>
      <c r="K39" s="56" t="inlineStr">
        <is>
          <t>https://www.fragrantica.com/perfume/Lattafa-Perfumes/Ana-Abiyedh-Coral-103256.html</t>
        </is>
      </c>
      <c r="L39" s="56" t="inlineStr">
        <is>
          <t>https://www.parfumo.com/Perfumes/Lattafa/ana-abiyedh-coral</t>
        </is>
      </c>
    </row>
    <row r="40" ht="18" customHeight="1" s="46">
      <c r="A40" s="57" t="n">
        <v>20</v>
      </c>
      <c r="B40" s="58" t="inlineStr">
        <is>
          <t>Lattafa</t>
        </is>
      </c>
      <c r="C40" s="58" t="inlineStr">
        <is>
          <t>Habik</t>
        </is>
      </c>
      <c r="D40" s="58" t="inlineStr">
        <is>
          <t>Le Male Essence de Parfum</t>
        </is>
      </c>
      <c r="E40" s="59" t="n">
        <v>109</v>
      </c>
      <c r="F40" s="59" t="n">
        <v>169</v>
      </c>
      <c r="G40" s="59">
        <f>IF(I40&lt;&gt;"",CEILING(8*(I40/30+4),5),"")</f>
        <v/>
      </c>
      <c r="H40" s="59">
        <f>IF(I40&lt;&gt;"",CEILING(20*(I40/30+1),5),"")</f>
        <v/>
      </c>
      <c r="I40" s="57" t="n">
        <v>829</v>
      </c>
      <c r="J40" s="13" t="n"/>
      <c r="K40" s="60" t="inlineStr">
        <is>
          <t>https://www.fragrantica.com/perfume/Lattafa-Perfumes/Habik-For-Men-110353.html</t>
        </is>
      </c>
      <c r="L40" s="60" t="inlineStr">
        <is>
          <t>https://www.parfumo.com/Perfumes/arabiyat-prestige/habib-1</t>
        </is>
      </c>
    </row>
    <row r="41" ht="18" customHeight="1" s="46">
      <c r="A41" s="53" t="n">
        <v>21</v>
      </c>
      <c r="B41" s="54" t="inlineStr">
        <is>
          <t>Lattafa</t>
        </is>
      </c>
      <c r="C41" s="54" t="inlineStr">
        <is>
          <t>Khamrah</t>
        </is>
      </c>
      <c r="D41" s="54" t="inlineStr">
        <is>
          <t>Inspired by Angels' Share</t>
        </is>
      </c>
      <c r="E41" s="55" t="n">
        <v>119</v>
      </c>
      <c r="F41" s="55" t="n">
        <v>179</v>
      </c>
      <c r="G41" s="55">
        <f>IF(I41&lt;&gt;"",CEILING(8*(I41/30+4),5),"")</f>
        <v/>
      </c>
      <c r="H41" s="55" t="n">
        <v>619</v>
      </c>
      <c r="I41" s="53" t="n">
        <v>899</v>
      </c>
      <c r="J41" s="2" t="n"/>
      <c r="K41" s="56" t="inlineStr">
        <is>
          <t>https://www.fragrantica.com/perfume/Lattafa-Perfumes/Khamrah-75805.html</t>
        </is>
      </c>
      <c r="L41" s="56" t="inlineStr">
        <is>
          <t>https://www.parfumo.com/Perfumes/Lattafa/khamrah</t>
        </is>
      </c>
    </row>
    <row r="42" ht="18" customHeight="1" s="46">
      <c r="A42" s="6" t="n"/>
      <c r="B42" s="54" t="inlineStr">
        <is>
          <t>Lattafa</t>
        </is>
      </c>
      <c r="C42" s="54" t="inlineStr">
        <is>
          <t>Raghba wood intense</t>
        </is>
      </c>
      <c r="D42" s="54" t="inlineStr">
        <is>
          <t>Black Comme des Garçons</t>
        </is>
      </c>
      <c r="E42" s="55" t="n">
        <v>89</v>
      </c>
      <c r="F42" s="55" t="n">
        <v>129</v>
      </c>
      <c r="G42" s="33" t="n"/>
      <c r="H42" s="33" t="n"/>
      <c r="I42" s="32" t="n"/>
      <c r="J42" s="32" t="n"/>
      <c r="K42" s="56" t="inlineStr">
        <is>
          <t>https://www.fragrantica.com/perfume/Lattafa-Perfumes/Raghba-3084.html</t>
        </is>
      </c>
      <c r="L42" s="56" t="inlineStr">
        <is>
          <t>https://www.parfumo.com/Perfumes/Lattafa/raghba-eau-de-parfum</t>
        </is>
      </c>
    </row>
    <row r="43" ht="18" customHeight="1" s="46">
      <c r="A43" s="6" t="n"/>
      <c r="B43" s="54" t="inlineStr">
        <is>
          <t>Lattafa</t>
        </is>
      </c>
      <c r="C43" s="54" t="inlineStr">
        <is>
          <t>Khamrah Dukhan</t>
        </is>
      </c>
      <c r="D43" s="54" t="inlineStr">
        <is>
          <t>Inspired by Angels' Share</t>
        </is>
      </c>
      <c r="E43" s="55" t="n">
        <v>119</v>
      </c>
      <c r="F43" s="55" t="n">
        <v>179</v>
      </c>
      <c r="G43" s="33" t="n"/>
      <c r="H43" s="33" t="n"/>
      <c r="I43" s="32" t="n"/>
      <c r="J43" s="32" t="n"/>
      <c r="K43" s="56" t="inlineStr">
        <is>
          <t>https://www.fragrantica.com/perfume/Lattafa-Perfumes/Khamrah-Dukhan-104529.html</t>
        </is>
      </c>
      <c r="L43" s="56" t="inlineStr">
        <is>
          <t>https://www.parfumo.com/Perfumes/Lattafa/khamrah-dukhan</t>
        </is>
      </c>
    </row>
    <row r="44" ht="38" customHeight="1" s="46">
      <c r="A44" s="10" t="n"/>
      <c r="B44" s="52" t="inlineStr">
        <is>
          <t>Maison Alhambra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</row>
    <row r="45" ht="38" customHeight="1" s="46">
      <c r="A45" s="10" t="n"/>
      <c r="B45" s="52" t="inlineStr">
        <is>
          <t>Mancera</t>
        </is>
      </c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</row>
    <row r="46" ht="18" customHeight="1" s="46">
      <c r="A46" s="57" t="n">
        <v>22</v>
      </c>
      <c r="B46" s="58" t="inlineStr">
        <is>
          <t>Mancera</t>
        </is>
      </c>
      <c r="C46" s="58" t="inlineStr">
        <is>
          <t>French Riviera</t>
        </is>
      </c>
      <c r="D46" s="58" t="inlineStr">
        <is>
          <t>Original</t>
        </is>
      </c>
      <c r="E46" s="59" t="n">
        <v>229</v>
      </c>
      <c r="F46" s="59">
        <f>IF(I46&lt;&gt;"",CEILING(5*(I46/30+6),5),"")</f>
        <v/>
      </c>
      <c r="G46" s="59" t="n">
        <v>569</v>
      </c>
      <c r="H46" s="59">
        <f>IF(I46&lt;&gt;"",CEILING(20*(I46/30+1),5),"")</f>
        <v/>
      </c>
      <c r="I46" s="57" t="n">
        <v>1999</v>
      </c>
      <c r="J46" s="13" t="n"/>
      <c r="K46" s="60" t="inlineStr">
        <is>
          <t>https://www.fragrantica.com/perfume/Mancera/French-Riviera-74636.html</t>
        </is>
      </c>
      <c r="L46" s="60" t="inlineStr">
        <is>
          <t>https://www.parfumo.com/Perfumes/Mancera/french-riviera</t>
        </is>
      </c>
    </row>
    <row r="47" ht="45" customHeight="1" s="46">
      <c r="A47" s="10" t="n"/>
      <c r="B47" s="52" t="inlineStr">
        <is>
          <t>Pendora Scents</t>
        </is>
      </c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</row>
    <row r="48" ht="20" customHeight="1" s="46">
      <c r="A48" s="53" t="n">
        <v>23</v>
      </c>
      <c r="B48" s="54" t="inlineStr">
        <is>
          <t>Pendora Scents</t>
        </is>
      </c>
      <c r="C48" s="54" t="inlineStr">
        <is>
          <t>Vanilla Tobacco</t>
        </is>
      </c>
      <c r="D48" s="54" t="inlineStr">
        <is>
          <t>Tobacco Vanille</t>
        </is>
      </c>
      <c r="E48" s="55" t="n">
        <v>79</v>
      </c>
      <c r="F48" s="55">
        <f>IF(I48&lt;&gt;"",CEILING(5*(I48/30+6),5),"")</f>
        <v/>
      </c>
      <c r="G48" s="55" t="n">
        <v>169</v>
      </c>
      <c r="H48" s="55">
        <f>IF(I48&lt;&gt;"",CEILING(20*(I48/30+1),5),"")</f>
        <v/>
      </c>
      <c r="I48" s="55" t="n">
        <v>499</v>
      </c>
      <c r="J48" s="2" t="n"/>
      <c r="K48" s="56" t="inlineStr">
        <is>
          <t>https://www.fragrantica.com/perfume/Paris-Corner/Charuto-Tobacco-Vanille-84143.html</t>
        </is>
      </c>
      <c r="L48" s="56" t="inlineStr">
        <is>
          <t>https://www.parfumo.com/Perfumes/pendora-scents/charuto-tobacco-vanille</t>
        </is>
      </c>
    </row>
    <row r="49" ht="45" customHeight="1" s="46">
      <c r="A49" s="11" t="n"/>
      <c r="B49" s="52" t="inlineStr">
        <is>
          <t>Rasasi</t>
        </is>
      </c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2" t="n"/>
    </row>
    <row r="50" ht="20" customHeight="1" s="46">
      <c r="A50" s="57" t="n">
        <v>24</v>
      </c>
      <c r="B50" s="58" t="inlineStr">
        <is>
          <t>Rasasi</t>
        </is>
      </c>
      <c r="C50" s="58" t="inlineStr">
        <is>
          <t>Daarej Pour Homme</t>
        </is>
      </c>
      <c r="D50" s="58" t="inlineStr">
        <is>
          <t>Original</t>
        </is>
      </c>
      <c r="E50" s="59" t="n">
        <v>79</v>
      </c>
      <c r="F50" s="59">
        <f>IF(I50&lt;&gt;"",CEILING(5*(I50/30+6),5),"")</f>
        <v/>
      </c>
      <c r="G50" s="59" t="n">
        <v>169</v>
      </c>
      <c r="H50" s="59">
        <f>IF(I50&lt;&gt;"",CEILING(20*(I50/30+1),5),"")</f>
        <v/>
      </c>
      <c r="I50" s="59" t="n">
        <v>499</v>
      </c>
      <c r="J50" s="16" t="n"/>
      <c r="K50" s="58" t="inlineStr">
        <is>
          <t>https://www.fragrantica.com/perfume/Rasasi/Daarej-Pour-Homme-75411.html</t>
        </is>
      </c>
      <c r="L50" s="58" t="inlineStr">
        <is>
          <t>https://www.parfumo.com/Perfumes/rasasi/daarej-pour-homme</t>
        </is>
      </c>
    </row>
    <row r="51" ht="20" customHeight="1" s="46">
      <c r="A51" s="53" t="n">
        <v>25</v>
      </c>
      <c r="B51" s="54" t="inlineStr">
        <is>
          <t>Rasasi</t>
        </is>
      </c>
      <c r="C51" s="54" t="inlineStr">
        <is>
          <t>Hawas Kobra</t>
        </is>
      </c>
      <c r="D51" s="54" t="inlineStr">
        <is>
          <t>Original</t>
        </is>
      </c>
      <c r="E51" s="55" t="n">
        <v>119</v>
      </c>
      <c r="F51" s="55" t="n">
        <v>179</v>
      </c>
      <c r="G51" s="55">
        <f>IF(I51&lt;&gt;"",CEILING(8*(I51/30+4),5),"")</f>
        <v/>
      </c>
      <c r="H51" s="55" t="n">
        <v>619</v>
      </c>
      <c r="I51" s="55" t="n">
        <v>899</v>
      </c>
      <c r="J51" s="7" t="n"/>
      <c r="K51" s="54" t="inlineStr">
        <is>
          <t>https://www.fragrantica.com/perfume/Rasasi/Hawas-Kobra-87141.html</t>
        </is>
      </c>
      <c r="L51" s="54" t="inlineStr">
        <is>
          <t>https://www.parfumo.com/Perfumes/rasasi/hawas-kobra</t>
        </is>
      </c>
    </row>
    <row r="52" ht="20" customHeight="1" s="46">
      <c r="A52" s="53" t="n">
        <v>26</v>
      </c>
      <c r="B52" s="54" t="inlineStr">
        <is>
          <t>Rasasi</t>
        </is>
      </c>
      <c r="C52" s="54" t="inlineStr">
        <is>
          <t>Hawas OG</t>
        </is>
      </c>
      <c r="D52" s="54" t="inlineStr">
        <is>
          <t>Original</t>
        </is>
      </c>
      <c r="E52" s="55" t="n">
        <v>119</v>
      </c>
      <c r="F52" s="55" t="n">
        <v>179</v>
      </c>
      <c r="G52" s="55" t="n">
        <v>275</v>
      </c>
      <c r="H52" s="55" t="n">
        <v>619</v>
      </c>
      <c r="I52" s="55" t="n">
        <v>899</v>
      </c>
      <c r="J52" s="7" t="n"/>
      <c r="K52" s="54" t="inlineStr">
        <is>
          <t>https://www.fragrantica.com/perfume/Rasasi/Hawas-52419.html</t>
        </is>
      </c>
      <c r="L52" s="54" t="inlineStr">
        <is>
          <t>https://www.parfumo.com/Perfumes/Rasasi/hawas</t>
        </is>
      </c>
    </row>
    <row r="53" ht="45" customHeight="1" s="46">
      <c r="A53" s="10" t="n"/>
      <c r="B53" s="52" t="inlineStr">
        <is>
          <t>Rayhaan</t>
        </is>
      </c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</row>
    <row r="54" ht="18" customHeight="1" s="46">
      <c r="A54" s="57" t="n">
        <v>27</v>
      </c>
      <c r="B54" s="58" t="inlineStr">
        <is>
          <t>Rayhaan</t>
        </is>
      </c>
      <c r="C54" s="58" t="inlineStr">
        <is>
          <t>Jungle Vibe</t>
        </is>
      </c>
      <c r="D54" s="58" t="inlineStr">
        <is>
          <t>Santal Greenery</t>
        </is>
      </c>
      <c r="E54" s="59">
        <f>IF(I54&lt;&gt;"",CEILING(3*(I54/30+9),5),"")</f>
        <v/>
      </c>
      <c r="F54" s="59">
        <f>IF(I54&lt;&gt;"",CEILING(5*(I54/30+6),5),"")</f>
        <v/>
      </c>
      <c r="G54" s="59" t="n">
        <v>229</v>
      </c>
      <c r="H54" s="59">
        <f>IF(I54&lt;&gt;"",CEILING(20*(I54/30+1),5),"")</f>
        <v/>
      </c>
      <c r="I54" s="57" t="n">
        <v>739</v>
      </c>
      <c r="J54" s="13" t="n"/>
      <c r="K54" s="60" t="inlineStr">
        <is>
          <t>https://www.fragrantica.com/perfume/Rayhaan/Jungle-Vibe-123211.html</t>
        </is>
      </c>
      <c r="L54" s="60" t="inlineStr">
        <is>
          <t>https://www.parfumo.com/Perfumes/rayhaan/jungle-vibe</t>
        </is>
      </c>
    </row>
    <row r="55" ht="18" customHeight="1" s="46">
      <c r="A55" s="53" t="n">
        <v>28</v>
      </c>
      <c r="B55" s="54" t="inlineStr">
        <is>
          <t>Rayhaan</t>
        </is>
      </c>
      <c r="C55" s="54" t="inlineStr">
        <is>
          <t>Nocturno</t>
        </is>
      </c>
      <c r="D55" s="54" t="inlineStr">
        <is>
          <t>Sauvage / Bleu de Chanel</t>
        </is>
      </c>
      <c r="E55" s="55">
        <f>IF(I55&lt;&gt;"",CEILING(3*(I55/30+9),5),"")</f>
        <v/>
      </c>
      <c r="F55" s="55">
        <f>IF(I55&lt;&gt;"",CEILING(5*(I55/30+6),5),"")</f>
        <v/>
      </c>
      <c r="G55" s="55" t="n">
        <v>229</v>
      </c>
      <c r="H55" s="55">
        <f>IF(I55&lt;&gt;"",CEILING(20*(I55/30+1),5),"")</f>
        <v/>
      </c>
      <c r="I55" s="53" t="n">
        <v>739</v>
      </c>
      <c r="J55" s="2" t="n"/>
      <c r="K55" s="56" t="inlineStr">
        <is>
          <t>https://www.fragrantica.com/perfume/Rayhaan/Nocturno-116731.html</t>
        </is>
      </c>
      <c r="L55" s="56" t="inlineStr">
        <is>
          <t>https://www.parfumo.com/Perfumes/rayhaan/nocturno</t>
        </is>
      </c>
    </row>
    <row r="56" ht="18" customHeight="1" s="46">
      <c r="A56" s="57" t="n">
        <v>29</v>
      </c>
      <c r="B56" s="58" t="inlineStr">
        <is>
          <t>Rayhaan</t>
        </is>
      </c>
      <c r="C56" s="58" t="inlineStr">
        <is>
          <t>Valhalla</t>
        </is>
      </c>
      <c r="D56" s="58" t="inlineStr">
        <is>
          <t>Angels' Share Paradis</t>
        </is>
      </c>
      <c r="E56" s="59">
        <f>IF(I56&lt;&gt;"",CEILING(3*(I56/30+9),5),"")</f>
        <v/>
      </c>
      <c r="F56" s="59">
        <f>IF(I56&lt;&gt;"",CEILING(5*(I56/30+6),5),"")</f>
        <v/>
      </c>
      <c r="G56" s="59" t="n">
        <v>229</v>
      </c>
      <c r="H56" s="59">
        <f>IF(I56&lt;&gt;"",CEILING(20*(I56/30+1),5),"")</f>
        <v/>
      </c>
      <c r="I56" s="57" t="n">
        <v>739</v>
      </c>
      <c r="J56" s="13" t="n"/>
      <c r="K56" s="60" t="inlineStr">
        <is>
          <t>https://www.fragrantica.com/perfume/Rayhaan/Valhalla-113592.html</t>
        </is>
      </c>
      <c r="L56" s="60" t="inlineStr">
        <is>
          <t>https://www.parfumo.com/Perfumes/rayhaan/valhalla-x-legion</t>
        </is>
      </c>
    </row>
    <row r="57" ht="50" customHeight="1" s="46">
      <c r="B57" s="61" t="inlineStr">
        <is>
          <t>Paris Corner</t>
        </is>
      </c>
    </row>
    <row r="58">
      <c r="A58" s="62" t="n">
        <v>30</v>
      </c>
      <c r="B58" s="61" t="inlineStr">
        <is>
          <t>Paris Corner</t>
        </is>
      </c>
      <c r="C58" s="61" t="inlineStr">
        <is>
          <t>Rifaqaat</t>
        </is>
      </c>
      <c r="D58" s="61" t="inlineStr">
        <is>
          <t>Babycat YSL</t>
        </is>
      </c>
      <c r="E58" s="62" t="n">
        <v>95</v>
      </c>
      <c r="K58" s="61" t="inlineStr">
        <is>
          <t>https://www.fragrantica.com/perfume/PARIS-CORNER/Rifaaqat-99060.html</t>
        </is>
      </c>
      <c r="L58" s="61" t="inlineStr">
        <is>
          <t>https://www.parfumo.com/Perfumes/paris-corner/rifaaqat</t>
        </is>
      </c>
    </row>
    <row r="59" ht="50" customHeight="1" s="46">
      <c r="B59" s="61" t="inlineStr">
        <is>
          <t>Swiss Arabian</t>
        </is>
      </c>
    </row>
    <row r="60">
      <c r="A60" s="62" t="n">
        <v>31</v>
      </c>
      <c r="B60" s="61" t="inlineStr">
        <is>
          <t>Swiss Arabian</t>
        </is>
      </c>
      <c r="C60" s="61" t="inlineStr">
        <is>
          <t>Enigma of Taif</t>
        </is>
      </c>
      <c r="D60" s="61" t="inlineStr">
        <is>
          <t>Original</t>
        </is>
      </c>
      <c r="E60" s="62" t="n">
        <v>189</v>
      </c>
      <c r="K60" s="61" t="inlineStr">
        <is>
          <t>https://www.fragrantica.com/perfume/Swiss-Arabian/Enigma-of-Taif-117521.html</t>
        </is>
      </c>
      <c r="L60" s="61" t="inlineStr">
        <is>
          <t>https://www.parfumo.com/Perfumes/Swiss_Arabian/enigma-of-taif</t>
        </is>
      </c>
    </row>
    <row r="61">
      <c r="A61" s="62" t="n">
        <v>32</v>
      </c>
      <c r="B61" s="61" t="inlineStr">
        <is>
          <t>Swiss Arabian</t>
        </is>
      </c>
      <c r="C61" s="61" t="inlineStr">
        <is>
          <t>Soul of Bali</t>
        </is>
      </c>
      <c r="D61" s="61" t="inlineStr">
        <is>
          <t>Original</t>
        </is>
      </c>
      <c r="E61" s="62" t="n">
        <v>189</v>
      </c>
      <c r="K61" s="61" t="inlineStr">
        <is>
          <t>https://www.fragrantica.com/perfume/Swiss-Arabian/Soul-of-Bali-107070.html</t>
        </is>
      </c>
      <c r="L61" s="61" t="inlineStr">
        <is>
          <t>https://www.parfumo.com/Perfumes/Swiss_Arabian/soul-of-bali</t>
        </is>
      </c>
    </row>
    <row r="62">
      <c r="A62" s="62" t="n">
        <v>42</v>
      </c>
      <c r="B62" s="61" t="inlineStr">
        <is>
          <t>Lattafa</t>
        </is>
      </c>
      <c r="C62" s="61" t="inlineStr">
        <is>
          <t>ASAD</t>
        </is>
      </c>
      <c r="D62" s="61" t="inlineStr">
        <is>
          <t>Dior Sauvage Elixir</t>
        </is>
      </c>
      <c r="E62" s="62" t="n">
        <v>95</v>
      </c>
      <c r="F62" s="62" t="n">
        <v>139</v>
      </c>
      <c r="G62" s="62" t="n">
        <v>209</v>
      </c>
      <c r="H62" s="62" t="n">
        <v>455</v>
      </c>
      <c r="I62" s="62" t="n">
        <v>649</v>
      </c>
      <c r="K62" s="61" t="inlineStr">
        <is>
          <t>https://www.fragrantica.com/perfume/Lattafa/Asad-72821.html</t>
        </is>
      </c>
      <c r="L62" s="61" t="inlineStr">
        <is>
          <t>https://www.parfumo.com/Perfumes/Lattafa/asad-1</t>
        </is>
      </c>
    </row>
    <row r="63">
      <c r="A63" s="62" t="n">
        <v>43</v>
      </c>
      <c r="B63" s="61" t="inlineStr">
        <is>
          <t>Lattafa</t>
        </is>
      </c>
      <c r="C63" s="61" t="inlineStr">
        <is>
          <t>ASAD Elixir</t>
        </is>
      </c>
      <c r="D63" s="61" t="inlineStr">
        <is>
          <t>Parfums de Marly Layton</t>
        </is>
      </c>
      <c r="E63" s="62" t="n">
        <v>95</v>
      </c>
      <c r="F63" s="62" t="n">
        <v>139</v>
      </c>
      <c r="G63" s="62" t="n">
        <v>209</v>
      </c>
      <c r="H63" s="62" t="n">
        <v>455</v>
      </c>
      <c r="I63" s="62" t="n">
        <v>649</v>
      </c>
      <c r="K63" s="61" t="inlineStr">
        <is>
          <t>https://www.fragrantica.com/perfume/Lattafa/Asad-Elixir-117616.html</t>
        </is>
      </c>
      <c r="L63" s="61" t="inlineStr">
        <is>
          <t>https://www.parfumo.com/Perfumes/Lattafa/asad-elixir-elixir</t>
        </is>
      </c>
    </row>
    <row r="64">
      <c r="A64" s="62" t="n">
        <v>44</v>
      </c>
      <c r="B64" s="61" t="inlineStr">
        <is>
          <t>Rasasi</t>
        </is>
      </c>
      <c r="C64" s="61" t="inlineStr">
        <is>
          <t>Hawas Ice</t>
        </is>
      </c>
      <c r="D64" s="61" t="inlineStr">
        <is>
          <t>Invictus</t>
        </is>
      </c>
      <c r="E64" s="62" t="n">
        <v>119</v>
      </c>
      <c r="F64" s="62" t="n">
        <v>179</v>
      </c>
      <c r="G64" s="62" t="n">
        <v>275</v>
      </c>
      <c r="H64" s="62" t="n">
        <v>619</v>
      </c>
      <c r="I64" s="62" t="n">
        <v>899</v>
      </c>
      <c r="K64" s="61" t="inlineStr">
        <is>
          <t>https://www.fragrantica.com/perfume/Rasasi/Hawas-Ice-89050.html</t>
        </is>
      </c>
      <c r="L64" s="61" t="inlineStr">
        <is>
          <t>https://www.parfumo.com/Perfumes/Rasasi/hawas-ice</t>
        </is>
      </c>
    </row>
    <row r="65">
      <c r="A65" s="62" t="n">
        <v>45</v>
      </c>
      <c r="B65" s="61" t="inlineStr">
        <is>
          <t>Riiffs</t>
        </is>
      </c>
      <c r="C65" s="61" t="inlineStr">
        <is>
          <t>Costa de Amalfi</t>
        </is>
      </c>
      <c r="D65" s="61" t="inlineStr">
        <is>
          <t>Original</t>
        </is>
      </c>
      <c r="E65" s="62" t="n">
        <v>95</v>
      </c>
      <c r="F65" s="62" t="n">
        <v>145</v>
      </c>
      <c r="G65" s="62" t="n">
        <v>209</v>
      </c>
      <c r="H65" s="62" t="n">
        <v>469</v>
      </c>
      <c r="I65" s="62" t="n">
        <v>669</v>
      </c>
      <c r="K65" s="61" t="inlineStr">
        <is>
          <t>https://www.fragrantica.com/perfume/Riiffs/Costa-de-Amalfi-116075.html</t>
        </is>
      </c>
      <c r="L65" s="61" t="inlineStr">
        <is>
          <t>https://www.parfumo.com/Perfumes/riiffs/costa-de-amalfi</t>
        </is>
      </c>
    </row>
    <row r="66">
      <c r="A66" s="62" t="n">
        <v>46</v>
      </c>
      <c r="B66" s="61" t="inlineStr">
        <is>
          <t>Al Mukhtalif</t>
        </is>
      </c>
      <c r="C66" s="61" t="inlineStr">
        <is>
          <t>Silver Nusuk</t>
        </is>
      </c>
      <c r="D66" s="61" t="inlineStr">
        <is>
          <t>Original</t>
        </is>
      </c>
      <c r="E66" s="62" t="n">
        <v>105</v>
      </c>
      <c r="F66" s="62" t="n">
        <v>155</v>
      </c>
      <c r="G66" s="62" t="n">
        <v>235</v>
      </c>
      <c r="H66" s="62" t="n">
        <v>519</v>
      </c>
      <c r="I66" s="62" t="n">
        <v>749</v>
      </c>
      <c r="K66" s="61" t="inlineStr">
        <is>
          <t>https://www.fragrantica.com/perfume/Al-Mukhtalif/Al-Mukhtalif-Signature-100736.html</t>
        </is>
      </c>
      <c r="L66" s="61" t="inlineStr">
        <is>
          <t>https://www.parfumo.com/Perfumes/nusuk/al-mukhtalif</t>
        </is>
      </c>
    </row>
    <row r="67">
      <c r="A67" s="62" t="n">
        <v>47</v>
      </c>
      <c r="B67" s="61" t="inlineStr">
        <is>
          <t>Rayhaan</t>
        </is>
      </c>
      <c r="C67" s="61" t="inlineStr">
        <is>
          <t>Elixir</t>
        </is>
      </c>
      <c r="D67" s="61" t="inlineStr">
        <is>
          <t>Original</t>
        </is>
      </c>
      <c r="E67" s="62" t="n">
        <v>99</v>
      </c>
      <c r="F67" s="62" t="n">
        <v>149</v>
      </c>
      <c r="G67" s="62" t="n">
        <v>219</v>
      </c>
      <c r="H67" s="62" t="n">
        <v>489</v>
      </c>
      <c r="I67" s="62" t="n">
        <v>699</v>
      </c>
      <c r="K67" s="61" t="inlineStr">
        <is>
          <t>https://www.fragrantica.com/perfume/Rayhaan/Rayhaan-Elixir-95265.html</t>
        </is>
      </c>
      <c r="L67" s="61" t="inlineStr">
        <is>
          <t>https://www.parfumo.com/Perfumes/rayhaan/rayhaan-elixir</t>
        </is>
      </c>
    </row>
  </sheetData>
  <mergeCells count="16">
    <mergeCell ref="B49:L49"/>
    <mergeCell ref="B53:L53"/>
    <mergeCell ref="B26:L26"/>
    <mergeCell ref="B22:L22"/>
    <mergeCell ref="A2:L3"/>
    <mergeCell ref="A1:M1"/>
    <mergeCell ref="B13:L13"/>
    <mergeCell ref="B38:L38"/>
    <mergeCell ref="B44:L44"/>
    <mergeCell ref="B29:L29"/>
    <mergeCell ref="B24:L24"/>
    <mergeCell ref="B5:L5"/>
    <mergeCell ref="B20:L20"/>
    <mergeCell ref="B47:L47"/>
    <mergeCell ref="B36:L36"/>
    <mergeCell ref="B45:L45"/>
  </mergeCells>
  <hyperlinks>
    <hyperlink xmlns:r="http://schemas.openxmlformats.org/officeDocument/2006/relationships" ref="K6" r:id="rId1"/>
    <hyperlink xmlns:r="http://schemas.openxmlformats.org/officeDocument/2006/relationships" ref="L6" r:id="rId2"/>
    <hyperlink xmlns:r="http://schemas.openxmlformats.org/officeDocument/2006/relationships" ref="K7" r:id="rId3"/>
    <hyperlink xmlns:r="http://schemas.openxmlformats.org/officeDocument/2006/relationships" ref="L7" r:id="rId4"/>
    <hyperlink xmlns:r="http://schemas.openxmlformats.org/officeDocument/2006/relationships" ref="K8" r:id="rId5"/>
    <hyperlink xmlns:r="http://schemas.openxmlformats.org/officeDocument/2006/relationships" ref="L8" r:id="rId6"/>
    <hyperlink xmlns:r="http://schemas.openxmlformats.org/officeDocument/2006/relationships" ref="K9" r:id="rId7"/>
    <hyperlink xmlns:r="http://schemas.openxmlformats.org/officeDocument/2006/relationships" ref="L9" r:id="rId8"/>
    <hyperlink xmlns:r="http://schemas.openxmlformats.org/officeDocument/2006/relationships" ref="K10" r:id="rId9"/>
    <hyperlink xmlns:r="http://schemas.openxmlformats.org/officeDocument/2006/relationships" ref="L10" r:id="rId10"/>
    <hyperlink xmlns:r="http://schemas.openxmlformats.org/officeDocument/2006/relationships" ref="K11" r:id="rId11"/>
    <hyperlink xmlns:r="http://schemas.openxmlformats.org/officeDocument/2006/relationships" ref="L11" r:id="rId12"/>
    <hyperlink xmlns:r="http://schemas.openxmlformats.org/officeDocument/2006/relationships" ref="K12" r:id="rId13"/>
    <hyperlink xmlns:r="http://schemas.openxmlformats.org/officeDocument/2006/relationships" ref="K14" r:id="rId14"/>
    <hyperlink xmlns:r="http://schemas.openxmlformats.org/officeDocument/2006/relationships" ref="K15" r:id="rId15"/>
    <hyperlink xmlns:r="http://schemas.openxmlformats.org/officeDocument/2006/relationships" ref="L15" r:id="rId16"/>
    <hyperlink xmlns:r="http://schemas.openxmlformats.org/officeDocument/2006/relationships" ref="K16" r:id="rId17"/>
    <hyperlink xmlns:r="http://schemas.openxmlformats.org/officeDocument/2006/relationships" ref="L16" r:id="rId18"/>
    <hyperlink xmlns:r="http://schemas.openxmlformats.org/officeDocument/2006/relationships" ref="K17" r:id="rId19"/>
    <hyperlink xmlns:r="http://schemas.openxmlformats.org/officeDocument/2006/relationships" ref="L17" r:id="rId20"/>
    <hyperlink xmlns:r="http://schemas.openxmlformats.org/officeDocument/2006/relationships" ref="K18" r:id="rId21"/>
    <hyperlink xmlns:r="http://schemas.openxmlformats.org/officeDocument/2006/relationships" ref="L18" r:id="rId22"/>
    <hyperlink xmlns:r="http://schemas.openxmlformats.org/officeDocument/2006/relationships" ref="K19" r:id="rId23"/>
    <hyperlink xmlns:r="http://schemas.openxmlformats.org/officeDocument/2006/relationships" ref="L19" r:id="rId24"/>
    <hyperlink xmlns:r="http://schemas.openxmlformats.org/officeDocument/2006/relationships" ref="K21" r:id="rId25"/>
    <hyperlink xmlns:r="http://schemas.openxmlformats.org/officeDocument/2006/relationships" ref="L21" r:id="rId26"/>
    <hyperlink xmlns:r="http://schemas.openxmlformats.org/officeDocument/2006/relationships" ref="K23" r:id="rId27"/>
    <hyperlink xmlns:r="http://schemas.openxmlformats.org/officeDocument/2006/relationships" ref="L23" r:id="rId28"/>
    <hyperlink xmlns:r="http://schemas.openxmlformats.org/officeDocument/2006/relationships" ref="K25" r:id="rId29"/>
    <hyperlink xmlns:r="http://schemas.openxmlformats.org/officeDocument/2006/relationships" ref="L25" r:id="rId30"/>
    <hyperlink xmlns:r="http://schemas.openxmlformats.org/officeDocument/2006/relationships" ref="K27" r:id="rId31"/>
    <hyperlink xmlns:r="http://schemas.openxmlformats.org/officeDocument/2006/relationships" ref="L27" r:id="rId32"/>
    <hyperlink xmlns:r="http://schemas.openxmlformats.org/officeDocument/2006/relationships" ref="K30" r:id="rId33"/>
    <hyperlink xmlns:r="http://schemas.openxmlformats.org/officeDocument/2006/relationships" ref="L30" r:id="rId34"/>
    <hyperlink xmlns:r="http://schemas.openxmlformats.org/officeDocument/2006/relationships" ref="K37" r:id="rId35"/>
    <hyperlink xmlns:r="http://schemas.openxmlformats.org/officeDocument/2006/relationships" ref="L37" r:id="rId36"/>
    <hyperlink xmlns:r="http://schemas.openxmlformats.org/officeDocument/2006/relationships" ref="K39" r:id="rId37"/>
    <hyperlink xmlns:r="http://schemas.openxmlformats.org/officeDocument/2006/relationships" ref="L39" r:id="rId38"/>
    <hyperlink xmlns:r="http://schemas.openxmlformats.org/officeDocument/2006/relationships" ref="K40" r:id="rId39"/>
    <hyperlink xmlns:r="http://schemas.openxmlformats.org/officeDocument/2006/relationships" ref="L40" r:id="rId40"/>
    <hyperlink xmlns:r="http://schemas.openxmlformats.org/officeDocument/2006/relationships" ref="K41" r:id="rId41"/>
    <hyperlink xmlns:r="http://schemas.openxmlformats.org/officeDocument/2006/relationships" ref="L41" r:id="rId42"/>
    <hyperlink xmlns:r="http://schemas.openxmlformats.org/officeDocument/2006/relationships" ref="K46" r:id="rId43"/>
    <hyperlink xmlns:r="http://schemas.openxmlformats.org/officeDocument/2006/relationships" ref="L46" r:id="rId44"/>
    <hyperlink xmlns:r="http://schemas.openxmlformats.org/officeDocument/2006/relationships" ref="K48" display="https://www.fragrantica.com/perfume/Rasasi/Daarej-pour-Homme-19688.html" r:id="rId45"/>
    <hyperlink xmlns:r="http://schemas.openxmlformats.org/officeDocument/2006/relationships" ref="L48" display="https://www.parfumo.com/Perfumes/Rasasi/daarej-pour-homme" r:id="rId46"/>
    <hyperlink xmlns:r="http://schemas.openxmlformats.org/officeDocument/2006/relationships" ref="K54" r:id="rId47"/>
    <hyperlink xmlns:r="http://schemas.openxmlformats.org/officeDocument/2006/relationships" ref="L54" r:id="rId48"/>
    <hyperlink xmlns:r="http://schemas.openxmlformats.org/officeDocument/2006/relationships" ref="K55" r:id="rId49"/>
    <hyperlink xmlns:r="http://schemas.openxmlformats.org/officeDocument/2006/relationships" ref="L55" r:id="rId50"/>
    <hyperlink xmlns:r="http://schemas.openxmlformats.org/officeDocument/2006/relationships" ref="K56" r:id="rId51"/>
    <hyperlink xmlns:r="http://schemas.openxmlformats.org/officeDocument/2006/relationships" ref="L56" r:id="rId52"/>
  </hyperlinks>
  <pageMargins left="0.7" right="0.7" top="0.75" bottom="0.75" header="0.3" footer="0.3"/>
  <pageSetup orientation="portrait" paperSize="0" horizontalDpi="0" verticalDpi="0" copies="0"/>
  <drawing xmlns:r="http://schemas.openxmlformats.org/officeDocument/2006/relationships" r:id="rId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Fateh</dc:creator>
  <dcterms:created xsi:type="dcterms:W3CDTF">2026-06-26T18:59:09Z</dcterms:created>
  <dcterms:modified xsi:type="dcterms:W3CDTF">2026-07-11T11:31:00Z</dcterms:modified>
  <cp:lastModifiedBy>Fateh</cp:lastModifiedBy>
</cp:coreProperties>
</file>